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ze_prices_in_Kenya_2022" sheetId="1" r:id="rId5"/>
    <sheet state="visible" name="Pivot Table 1" sheetId="2" r:id="rId6"/>
    <sheet state="visible" name="Maize_prices_in_Kenya_2022 (fiv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<sst xmlns="http://schemas.openxmlformats.org/spreadsheetml/2006/main" count="699" uniqueCount="56">
  <si>
    <t>Date</t>
  </si>
  <si>
    <t>Market</t>
  </si>
  <si>
    <t>Category</t>
  </si>
  <si>
    <t>Commodity</t>
  </si>
  <si>
    <t>Unit</t>
  </si>
  <si>
    <t>Price_flag</t>
  </si>
  <si>
    <t>Currency</t>
  </si>
  <si>
    <t>Price</t>
  </si>
  <si>
    <t>Usd_price</t>
  </si>
  <si>
    <t>Exch_rate</t>
  </si>
  <si>
    <t>#date</t>
  </si>
  <si>
    <t>If Statements</t>
  </si>
  <si>
    <t>#loc+market+name</t>
  </si>
  <si>
    <t>#item+type</t>
  </si>
  <si>
    <t>#item+name</t>
  </si>
  <si>
    <t>#item+unit</t>
  </si>
  <si>
    <t>#item+price+flag</t>
  </si>
  <si>
    <t>#currency</t>
  </si>
  <si>
    <t>#value</t>
  </si>
  <si>
    <t>Ifs Statements</t>
  </si>
  <si>
    <t>SUMIF</t>
  </si>
  <si>
    <t>#value+usd</t>
  </si>
  <si>
    <t>SUMIFS</t>
  </si>
  <si>
    <t>CountIF</t>
  </si>
  <si>
    <t>#exchange+rate</t>
  </si>
  <si>
    <t>CountIFS</t>
  </si>
  <si>
    <t>REGEXETRACT</t>
  </si>
  <si>
    <t>Nairobi</t>
  </si>
  <si>
    <t>cereals and tubers</t>
  </si>
  <si>
    <t>Maize</t>
  </si>
  <si>
    <t>KG</t>
  </si>
  <si>
    <t>actual</t>
  </si>
  <si>
    <t>KES</t>
  </si>
  <si>
    <t>Garissa</t>
  </si>
  <si>
    <t>AVERAGE of Price</t>
  </si>
  <si>
    <t>AVERAGE of Usd_price</t>
  </si>
  <si>
    <t>Kakuma</t>
  </si>
  <si>
    <t>Mogadishu</t>
  </si>
  <si>
    <t>Baringo</t>
  </si>
  <si>
    <t>Eldoret</t>
  </si>
  <si>
    <t>Wajir</t>
  </si>
  <si>
    <t>Kalobeyei</t>
  </si>
  <si>
    <t>Kisumu</t>
  </si>
  <si>
    <t>Nakuru</t>
  </si>
  <si>
    <t>Grand Total</t>
  </si>
  <si>
    <t>5 KG</t>
  </si>
  <si>
    <t>milk and dairy</t>
  </si>
  <si>
    <t>Milk (UHT)</t>
  </si>
  <si>
    <t>1 L</t>
  </si>
  <si>
    <t>forecast</t>
  </si>
  <si>
    <t>Five number summary</t>
  </si>
  <si>
    <t>Min</t>
  </si>
  <si>
    <t>Q1</t>
  </si>
  <si>
    <t>Median</t>
  </si>
  <si>
    <t>Q3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</si>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</sst>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/d/yyyy"/>
  </numFmts>
  <fonts count="8">
    <font>
      <sz val="10.0"/>
      <color rgb="FF000000"/>
      <name val="Arial"/>
      <scheme val="minor"/>
    </font>
    <font>
      <b/>
      <color rgb="FFFFFFFF"/>
      <name val="Inter"/>
    </font>
    <font>
      <color rgb="FF2A3140"/>
      <name val="Inter"/>
    </font>
    <font>
      <b/>
      <color theme="1"/>
      <name val="Arial"/>
      <scheme val="minor"/>
    </font>
    <font>
      <color theme="1"/>
      <name val="Arial"/>
      <scheme val="minor"/>
    </font>
    <font>
      <color rgb="FF2A3140"/>
      <name val="Arial"/>
    </font>
    <font>
      <color theme="1"/>
      <name val="Arial"/>
    </font>
    <font>
      <b/>
      <color rgb="FF3B82F6"/>
      <name val="Inter"/>
    </font>
  </fonts>
  <fills count="7">
    <fill>
      <patternFill patternType="none"/>
    </fill>
    <fill>
      <patternFill patternType="lightGray"/>
    </fill>
    <fill>
      <patternFill patternType="solid">
        <fgColor rgb="FF3B82F6"/>
        <bgColor rgb="FF3B82F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2A3140"/>
      </left>
      <top style="thin">
        <color rgb="FF2A3140"/>
      </top>
    </border>
    <border>
      <top style="thin">
        <color rgb="FF2A3140"/>
      </top>
    </border>
    <border>
      <right style="thin">
        <color rgb="FF2A3140"/>
      </right>
      <top style="thin">
        <color rgb="FF2A3140"/>
      </top>
    </border>
    <border>
      <left style="thin">
        <color rgb="FF2A3140"/>
      </left>
    </border>
    <border>
      <right style="thin">
        <color rgb="FF2A3140"/>
      </right>
    </border>
    <border>
      <left style="thin">
        <color rgb="FF2A3140"/>
      </left>
      <bottom style="thin">
        <color rgb="FF2A3140"/>
      </bottom>
    </border>
    <border>
      <bottom style="thin">
        <color rgb="FF2A3140"/>
      </bottom>
    </border>
    <border>
      <right style="thin">
        <color rgb="FF2A3140"/>
      </right>
      <bottom style="thin">
        <color rgb="FF2A314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2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readingOrder="0"/>
    </xf>
    <xf borderId="0" fillId="0" fontId="2" numFmtId="2" xfId="0" applyAlignment="1" applyFont="1" applyNumberFormat="1">
      <alignment vertical="bottom"/>
    </xf>
    <xf borderId="0" fillId="4" fontId="2" numFmtId="164" xfId="0" applyAlignment="1" applyFill="1" applyFont="1" applyNumberFormat="1">
      <alignment vertical="bottom"/>
    </xf>
    <xf borderId="0" fillId="4" fontId="2" numFmtId="165" xfId="0" applyAlignment="1" applyFill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2" xfId="0" applyAlignment="1" applyFill="1" applyFont="1" applyNumberFormat="1">
      <alignment horizontal="right" vertical="bottom"/>
    </xf>
    <xf borderId="2" fillId="0" fontId="4" numFmtId="0" xfId="0" applyBorder="1" applyFont="1"/>
    <xf borderId="3" fillId="0" fontId="4" numFmtId="0" xfId="0" applyBorder="1" applyFont="1"/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4" numFmtId="0" xfId="0" applyFont="1"/>
    <xf borderId="0" fillId="0" fontId="4" numFmtId="2" xfId="0" applyFont="1" applyNumberForma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2" xfId="0" applyAlignment="1" applyFont="1" applyNumberFormat="1">
      <alignment horizontal="right" vertical="bottom"/>
    </xf>
    <xf borderId="0" fillId="0" fontId="6" numFmtId="2" xfId="0" applyAlignment="1" applyFont="1" applyNumberFormat="1">
      <alignment vertical="bottom"/>
    </xf>
    <xf borderId="7" fillId="0" fontId="7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2" numFmtId="2" xfId="0" applyAlignment="1" applyBorder="1" applyFont="1" applyNumberFormat="1">
      <alignment horizontal="right" vertical="bottom"/>
    </xf>
    <xf borderId="9" fillId="0" fontId="2" numFmtId="164" xfId="0" applyAlignment="1" applyBorder="1" applyFont="1" applyNumberFormat="1">
      <alignment horizontal="right" vertical="bottom"/>
    </xf>
    <xf borderId="10" fillId="0" fontId="7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1" fillId="0" fontId="2" numFmtId="164" xfId="0" applyAlignment="1" applyBorder="1" applyFont="1" applyNumberFormat="1">
      <alignment horizontal="right" vertical="bottom"/>
    </xf>
    <xf borderId="12" fillId="0" fontId="7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2" numFmtId="2" xfId="0" applyAlignment="1" applyBorder="1" applyFont="1" applyNumberFormat="1">
      <alignment horizontal="right" vertical="bottom"/>
    </xf>
    <xf borderId="14" fillId="0" fontId="2" numFmtId="164" xfId="0" applyAlignment="1" applyBorder="1" applyFont="1" applyNumberFormat="1">
      <alignment horizontal="right" vertical="bottom"/>
    </xf>
    <xf borderId="0" fillId="0" fontId="2" numFmtId="2" xfId="0" applyAlignment="1" applyFont="1" applyNumberFormat="1">
      <alignment readingOrder="0" vertical="bottom"/>
    </xf>
    <xf borderId="0" fillId="5" fontId="4" numFmtId="0" xfId="0" applyFill="1" applyFont="1"/>
    <xf borderId="3" fillId="5" fontId="4" numFmtId="0" xfId="0" applyBorder="1" applyFill="1" applyFont="1"/>
    <xf borderId="15" fillId="6" fontId="4" numFmtId="0" xfId="0" applyAlignment="1" applyBorder="1" applyFill="1" applyFont="1">
      <alignment readingOrder="0"/>
    </xf>
    <xf borderId="16" fillId="0" fontId="4" numFmtId="0" xfId="0" applyBorder="1" applyFont="1"/>
    <xf borderId="16" fillId="0" fontId="4" numFmtId="2" xfId="0" applyBorder="1" applyFont="1" applyNumberFormat="1"/>
    <xf borderId="17" fillId="0" fontId="2" numFmtId="164" xfId="0" applyAlignment="1" applyBorder="1" applyFont="1" applyNumberFormat="1">
      <alignment horizontal="right" vertical="bottom"/>
    </xf>
    <xf borderId="2" fillId="6" fontId="4" numFmtId="0" xfId="0" applyAlignment="1" applyBorder="1" applyFill="1" applyFont="1">
      <alignment readingOrder="0"/>
    </xf>
    <xf borderId="3" fillId="0" fontId="2" numFmtId="164" xfId="0" applyAlignment="1" applyBorder="1" applyFont="1" applyNumberFormat="1">
      <alignment horizontal="right" vertical="bottom"/>
    </xf>
    <xf borderId="4" fillId="6" fontId="4" numFmtId="0" xfId="0" applyAlignment="1" applyBorder="1" applyFill="1" applyFont="1">
      <alignment readingOrder="0"/>
    </xf>
    <xf borderId="5" fillId="0" fontId="4" numFmtId="2" xfId="0" applyBorder="1" applyFont="1" applyNumberFormat="1"/>
    <xf borderId="6" fillId="0" fontId="2" numFmtId="164" xfId="0" applyAlignment="1" applyBorder="1" applyFont="1" applyNumberFormat="1">
      <alignment horizontal="right" vertical="bottom"/>
    </xf>
    <xf borderId="1" fillId="3" fontId="4" numFmtId="0" xfId="0" applyBorder="1" applyFill="1" applyFont="1"/>
    <xf borderId="3" fillId="0" fontId="4" numFmtId="2" xfId="0" applyBorder="1" applyFont="1" applyNumberFormat="1"/>
    <xf borderId="6" fillId="0" fontId="4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9" sheet="Maize_prices_in_Kenya_2022"/>
  </cacheSource>
  <cacheFields>
    <cacheField name="Date">
      <sharedItems containsDate="1" containsBlank="1" containsMixedTypes="1">
        <s v="#date"/>
        <d v="2021-12-15T00:00:00Z"/>
        <d v="2022-01-15T00:00:00Z"/>
        <d v="2022-02-15T00:00:00Z"/>
        <d v="2022-03-15T00:00:00Z"/>
        <d v="2021-03-15T00:00:00Z"/>
        <d v="2022-04-15T00:00:00Z"/>
        <m/>
        <s v="Min"/>
        <s v="Q1"/>
        <s v="Median"/>
        <s v="Q3"/>
        <s v="Max"/>
      </sharedItems>
    </cacheField>
    <cacheField name="Market" numFmtId="0">
      <sharedItems containsBlank="1">
        <s v="#loc+market+name"/>
        <s v="Nairobi"/>
        <s v="Garissa"/>
        <s v="Kakuma"/>
        <s v="Mogadishu"/>
        <s v="Baringo"/>
        <s v="Wajir"/>
        <s v="Kisumu"/>
        <s v="Nakuru"/>
        <s v="Eldoret"/>
        <s v="Kalobeyei"/>
        <m/>
      </sharedItems>
    </cacheField>
    <cacheField name="Category" numFmtId="0">
      <sharedItems containsBlank="1">
        <s v="#item+type"/>
        <s v="cereals and tubers"/>
        <s v="milk and dairy"/>
        <m/>
      </sharedItems>
    </cacheField>
    <cacheField name="Commodity" numFmtId="0">
      <sharedItems containsBlank="1">
        <s v="#item+name"/>
        <s v="Maize"/>
        <s v="Milk (UHT)"/>
        <m/>
      </sharedItems>
    </cacheField>
    <cacheField name="Unit" numFmtId="0">
      <sharedItems containsBlank="1">
        <s v="#item+unit"/>
        <s v="KG"/>
        <s v="5 KG"/>
        <s v="1 L"/>
        <m/>
      </sharedItems>
    </cacheField>
    <cacheField name="Price_flag" numFmtId="0">
      <sharedItems containsBlank="1">
        <s v="#item+price+flag"/>
        <s v="actual"/>
        <s v="forecast"/>
        <m/>
      </sharedItems>
    </cacheField>
    <cacheField name="Currency" numFmtId="0">
      <sharedItems containsBlank="1">
        <s v="#currency"/>
        <s v="KES"/>
        <m/>
      </sharedItems>
    </cacheField>
    <cacheField name="Price">
      <sharedItems containsBlank="1" containsMixedTypes="1" containsNumber="1">
        <s v="#value"/>
        <n v="52.31"/>
        <n v="50.0"/>
        <n v="42.5"/>
        <n v="46.67"/>
        <n v="47.5"/>
        <n v="40.0"/>
        <n v="25.0"/>
        <n v="250.0"/>
        <n v="45.0"/>
        <n v="60.0"/>
        <n v="68.75"/>
        <n v="44.38"/>
        <n v="48.75"/>
        <n v="47.17"/>
        <n v="53.62"/>
        <n v="54.33"/>
        <n v="47.33"/>
        <n v="200.0"/>
        <n v="45.38"/>
        <n v="42.69"/>
        <n v="46.54"/>
        <n v="42.77"/>
        <n v="46.35"/>
        <n v="47.31"/>
        <n v="36.85"/>
        <n v="122.5"/>
        <n v="51.0"/>
        <n v="49.655"/>
        <n v="100.2175"/>
        <n v="47.525"/>
        <n v="45.625"/>
        <n v="50.0475"/>
        <n v="65.462"/>
        <n v="56.0875"/>
        <n v="50.47"/>
        <n v="83.4375"/>
        <n v="42.1375"/>
        <m/>
        <n v="45.9875"/>
        <n v="53.974999999999994"/>
      </sharedItems>
    </cacheField>
    <cacheField name="Usd_price">
      <sharedItems containsBlank="1" containsMixedTypes="1" containsNumber="1">
        <s v="#value+usd"/>
        <n v="0.4635"/>
        <n v="0.4431"/>
        <n v="0.3766"/>
        <n v="0.4135"/>
        <n v="0.4209"/>
        <n v="0.3545"/>
        <n v="0.2215"/>
        <n v="0.4411"/>
        <n v="2.2055"/>
        <n v="0.397"/>
        <n v="0.5293"/>
        <n v="0.6065"/>
        <n v="0.3915"/>
        <n v="0.4301"/>
        <n v="0.4161"/>
        <n v="0.4731"/>
        <n v="0.4793"/>
        <n v="0.4176"/>
        <n v="0.6103"/>
        <n v="0.4439"/>
        <n v="1.7755"/>
        <n v="0.4029"/>
        <n v="0.379"/>
        <n v="0.4131"/>
        <n v="0.3797"/>
        <n v="0.3995"/>
        <n v="0.4114"/>
        <n v="0.42"/>
        <n v="0.3271"/>
        <n v="0.5326"/>
        <n v="1.09"/>
        <n v="0.39945"/>
        <n v="0.45271"/>
        <n v="0.43917500000000004"/>
        <n v="0.8852499999999999"/>
        <n v="0.420375"/>
        <n v="0.40355"/>
        <n v="0.442575"/>
        <n v="0.58026"/>
        <n v="0.49674999999999997"/>
        <n v="0.447225"/>
        <n v="0.7398875"/>
        <n v="0.3733025"/>
        <m/>
        <n v="0.40747500000000003"/>
        <n v="0.4762"/>
      </sharedItems>
    </cacheField>
    <cacheField name="Exch_rate">
      <sharedItems containsBlank="1" containsMixedTypes="1" containsNumber="1">
        <s v="#exchange+rate"/>
        <n v="112.85868392664509"/>
        <n v="112.84134506883322"/>
        <n v="112.8518321826872"/>
        <n v="112.86577992744861"/>
        <n v="112.85340936089332"/>
        <n v="112.83497884344148"/>
        <n v="112.86681715575621"/>
        <n v="113.35298118340512"/>
        <n v="113.35298118340513"/>
        <n v="113.35012594458438"/>
        <n v="113.35726431135463"/>
        <n v="113.3553173948887"/>
        <n v="113.3588761174968"/>
        <n v="113.34573355033713"/>
        <n v="113.36217255467436"/>
        <n v="113.33756076939335"/>
        <n v="113.35280617567285"/>
        <n v="113.33812260536398"/>
        <n v="112.64951663116501"/>
        <n v="112.63798152737102"/>
        <n v="112.64432554210082"/>
        <n v="112.63340779349716"/>
        <n v="112.63852242744062"/>
        <n v="112.66037279109173"/>
        <n v="112.6415591256255"/>
        <n v="112.64080100125156"/>
        <n v="112.66407389402042"/>
        <n v="112.64285714285715"/>
        <n v="112.65667991439928"/>
        <n v="112.65490048817124"/>
        <n v="112.38532110091742"/>
        <n v="112.65490048817122"/>
        <n v="113.06426823020435"/>
        <n v="113.2081332956792"/>
        <n v="113.05382099316087"/>
        <n v="113.0591004832115"/>
        <n v="113.08252838501949"/>
        <n v="112.81494502464413"/>
        <n v="112.90890790135883"/>
        <n v="112.85147297221756"/>
        <n v="112.77052254565727"/>
        <n v="112.8776260539375"/>
        <m/>
        <n v="112.85968464322963"/>
        <n v="113.3452330953380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14" firstHeaderRow="0" firstDataRow="2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ket" axis="axisRow" compact="0" outline="0" multipleItemSelectionAllowed="1" showAll="0" sortType="ascending">
      <items>
        <item x="11"/>
        <item x="0"/>
        <item x="5"/>
        <item x="9"/>
        <item x="2"/>
        <item x="3"/>
        <item x="10"/>
        <item x="7"/>
        <item x="4"/>
        <item x="1"/>
        <item x="8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Commodity" compact="0" outline="0" multipleItemSelectionAllowed="1" showAll="0">
      <items>
        <item x="0"/>
        <item x="1"/>
        <item x="2"/>
        <item x="3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_flag" compact="0" outline="0" multipleItemSelectionAllowed="1" showAll="0">
      <items>
        <item x="0"/>
        <item x="1"/>
        <item x="2"/>
        <item x="3"/>
        <item t="default"/>
      </items>
    </pivotField>
    <pivotField name="Currency" compact="0" outline="0" multipleItemSelectionAllowed="1" showAll="0">
      <items>
        <item x="0"/>
        <item x="1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Usd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Exch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1"/>
  </rowFields>
  <colFields>
    <field x="-2"/>
  </colFields>
  <dataFields>
    <dataField name="AVERAGE of Price" fld="7" subtotal="average" baseField="0"/>
    <dataField name="AVERAGE of Usd_price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88"/>
    <col customWidth="1" min="6" max="6" width="14.5"/>
    <col customWidth="1" min="9" max="9" width="10.25"/>
    <col customWidth="1" min="10" max="1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5" t="s">
        <v>11</v>
      </c>
      <c r="L1" s="5" t="s">
        <v>19</v>
      </c>
      <c r="M1" s="5" t="s">
        <v>20</v>
      </c>
      <c r="N1" s="5" t="s">
        <v>22</v>
      </c>
      <c r="O1" s="5" t="s">
        <v>23</v>
      </c>
      <c r="P1" s="5" t="s">
        <v>25</v>
      </c>
      <c r="Q1" s="5" t="s">
        <v>26</v>
      </c>
    </row>
    <row r="2">
      <c r="A2" s="4" t="s">
        <v>10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6" t="s">
        <v>18</v>
      </c>
      <c r="I2" s="6" t="s">
        <v>21</v>
      </c>
      <c r="J2" s="7" t="s">
        <v>24</v>
      </c>
      <c r="M2" s="11"/>
      <c r="P2" s="12"/>
      <c r="Q2" s="12"/>
    </row>
    <row r="3">
      <c r="A3" s="8">
        <v>44545.0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10">
        <v>52.31</v>
      </c>
      <c r="I3" s="10">
        <v>0.4635</v>
      </c>
      <c r="J3" s="13">
        <f t="shared" ref="J3:J53" si="1">IFERROR(H3/I3, "NaN")</f>
        <v>112.8586839</v>
      </c>
      <c r="K3" s="16" t="str">
        <f t="shared" ref="K3:K53" si="2">IF(H3&lt;50, "Cheap", "expensive")</f>
        <v>expensive</v>
      </c>
      <c r="L3" s="16" t="str">
        <f t="shared" ref="L3:L53" si="3">IFS(H3&lt;40, "Cheap",H3&gt;60, "expensive",H3&lt;=60, "Affordable")</f>
        <v>Affordable</v>
      </c>
      <c r="M3" s="18">
        <f>SUMIF(H3:H53, "&gt;40")</f>
        <v>2916.9345</v>
      </c>
      <c r="N3" s="19">
        <f>SUMIFS(H3:H53, H3:H53, "&gt;50",H3:H53,"&lt;70")</f>
        <v>750.827</v>
      </c>
      <c r="O3" s="19">
        <f>COUNTIF(J3:J53, "&gt;40")</f>
        <v>51</v>
      </c>
      <c r="P3" s="20">
        <f>COUNTIFS(H3:H53, "&gt;50",H3:H53,"&lt;70")</f>
        <v>13</v>
      </c>
      <c r="Q3" s="12" t="str">
        <f>IFERROR(__xludf.DUMMYFUNCTION("IFERROR(REGEXEXTRACT(B3:B8,""Nakuru|Eldorat""),""No Mention"")"),"No Mention")</f>
        <v>No Mention</v>
      </c>
    </row>
    <row r="4">
      <c r="A4" s="14">
        <v>44545.0</v>
      </c>
      <c r="B4" s="4" t="s">
        <v>33</v>
      </c>
      <c r="C4" s="4" t="s">
        <v>28</v>
      </c>
      <c r="D4" s="4" t="s">
        <v>29</v>
      </c>
      <c r="E4" s="4" t="s">
        <v>30</v>
      </c>
      <c r="F4" s="9" t="s">
        <v>31</v>
      </c>
      <c r="G4" s="4" t="s">
        <v>32</v>
      </c>
      <c r="H4" s="15">
        <v>50.0</v>
      </c>
      <c r="I4" s="15">
        <v>0.4431</v>
      </c>
      <c r="J4" s="13">
        <f t="shared" si="1"/>
        <v>112.8413451</v>
      </c>
      <c r="K4" s="16" t="str">
        <f t="shared" si="2"/>
        <v>expensive</v>
      </c>
      <c r="L4" s="16" t="str">
        <f t="shared" si="3"/>
        <v>Affordable</v>
      </c>
      <c r="Q4" s="12" t="str">
        <f>IFERROR(__xludf.DUMMYFUNCTION("IFERROR(REGEXEXTRACT(B4:B9,""Nakuru|Eldorat""),""No Mention"")"),"No Mention")</f>
        <v>No Mention</v>
      </c>
    </row>
    <row r="5">
      <c r="A5" s="8">
        <v>44545.0</v>
      </c>
      <c r="B5" s="9" t="s">
        <v>36</v>
      </c>
      <c r="C5" s="9" t="s">
        <v>28</v>
      </c>
      <c r="D5" s="9" t="s">
        <v>29</v>
      </c>
      <c r="E5" s="9" t="s">
        <v>30</v>
      </c>
      <c r="F5" s="9" t="s">
        <v>31</v>
      </c>
      <c r="G5" s="9" t="s">
        <v>32</v>
      </c>
      <c r="H5" s="10">
        <v>50.0</v>
      </c>
      <c r="I5" s="10">
        <v>0.4431</v>
      </c>
      <c r="J5" s="13">
        <f t="shared" si="1"/>
        <v>112.8413451</v>
      </c>
      <c r="K5" s="16" t="str">
        <f t="shared" si="2"/>
        <v>expensive</v>
      </c>
      <c r="L5" s="16" t="str">
        <f t="shared" si="3"/>
        <v>Affordable</v>
      </c>
      <c r="Q5" s="12" t="str">
        <f>IFERROR(__xludf.DUMMYFUNCTION("IFERROR(REGEXEXTRACT(B5:B10,""Nakuru|Eldorat""),""No Mention"")"),"No Mention")</f>
        <v>No Mention</v>
      </c>
    </row>
    <row r="6">
      <c r="A6" s="8">
        <v>44545.0</v>
      </c>
      <c r="B6" s="9" t="s">
        <v>37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10">
        <v>42.5</v>
      </c>
      <c r="I6" s="10">
        <v>0.3766</v>
      </c>
      <c r="J6" s="13">
        <f t="shared" si="1"/>
        <v>112.8518322</v>
      </c>
      <c r="K6" s="16" t="str">
        <f t="shared" si="2"/>
        <v>Cheap</v>
      </c>
      <c r="L6" s="16" t="str">
        <f t="shared" si="3"/>
        <v>Affordable</v>
      </c>
      <c r="Q6" s="12" t="str">
        <f>IFERROR(__xludf.DUMMYFUNCTION("IFERROR(REGEXEXTRACT(B6:B11,""Nakuru|Eldorat""),""No Mention"")"),"No Mention")</f>
        <v>No Mention</v>
      </c>
    </row>
    <row r="7">
      <c r="A7" s="8">
        <v>44545.0</v>
      </c>
      <c r="B7" s="9" t="s">
        <v>38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10">
        <v>46.67</v>
      </c>
      <c r="I7" s="10">
        <v>0.4135</v>
      </c>
      <c r="J7" s="13">
        <f t="shared" si="1"/>
        <v>112.8657799</v>
      </c>
      <c r="K7" s="16" t="str">
        <f t="shared" si="2"/>
        <v>Cheap</v>
      </c>
      <c r="L7" s="16" t="str">
        <f t="shared" si="3"/>
        <v>Affordable</v>
      </c>
      <c r="Q7" s="12" t="str">
        <f>IFERROR(__xludf.DUMMYFUNCTION("IFERROR(REGEXEXTRACT(B7:B12,""Nakuru|Eldorat""),""No Mention"")"),"No Mention")</f>
        <v>No Mention</v>
      </c>
    </row>
    <row r="8">
      <c r="A8" s="8">
        <v>44545.0</v>
      </c>
      <c r="B8" s="9" t="s">
        <v>40</v>
      </c>
      <c r="C8" s="9" t="s">
        <v>28</v>
      </c>
      <c r="D8" s="9" t="s">
        <v>29</v>
      </c>
      <c r="E8" s="9" t="s">
        <v>30</v>
      </c>
      <c r="F8" s="9" t="s">
        <v>31</v>
      </c>
      <c r="G8" s="9" t="s">
        <v>32</v>
      </c>
      <c r="H8" s="10">
        <v>47.5</v>
      </c>
      <c r="I8" s="10">
        <v>0.4209</v>
      </c>
      <c r="J8" s="13">
        <f t="shared" si="1"/>
        <v>112.8534094</v>
      </c>
      <c r="K8" s="16" t="str">
        <f t="shared" si="2"/>
        <v>Cheap</v>
      </c>
      <c r="L8" s="16" t="str">
        <f t="shared" si="3"/>
        <v>Affordable</v>
      </c>
      <c r="Q8" s="12" t="str">
        <f>IFERROR(__xludf.DUMMYFUNCTION("IFERROR(REGEXEXTRACT(B8:B13,""Nakuru|Eldorat""),""No Mention"")"),"No Mention")</f>
        <v>No Mention</v>
      </c>
    </row>
    <row r="9">
      <c r="A9" s="8">
        <v>44545.0</v>
      </c>
      <c r="B9" s="9" t="s">
        <v>42</v>
      </c>
      <c r="C9" s="9" t="s">
        <v>28</v>
      </c>
      <c r="D9" s="9" t="s">
        <v>29</v>
      </c>
      <c r="E9" s="9" t="s">
        <v>30</v>
      </c>
      <c r="F9" s="9" t="s">
        <v>31</v>
      </c>
      <c r="G9" s="9" t="s">
        <v>32</v>
      </c>
      <c r="H9" s="10">
        <v>50.0</v>
      </c>
      <c r="I9" s="10">
        <v>0.4431</v>
      </c>
      <c r="J9" s="13">
        <f t="shared" si="1"/>
        <v>112.8413451</v>
      </c>
      <c r="K9" s="16" t="str">
        <f t="shared" si="2"/>
        <v>expensive</v>
      </c>
      <c r="L9" s="16" t="str">
        <f t="shared" si="3"/>
        <v>Affordable</v>
      </c>
      <c r="Q9" s="12" t="str">
        <f>IFERROR(__xludf.DUMMYFUNCTION("IFERROR(REGEXEXTRACT(B9:B14,""Nakuru|Eldorat""),""No Mention"")"),"No Mention")</f>
        <v>No Mention</v>
      </c>
    </row>
    <row r="10">
      <c r="A10" s="8">
        <v>44545.0</v>
      </c>
      <c r="B10" s="9" t="s">
        <v>43</v>
      </c>
      <c r="C10" s="9" t="s">
        <v>28</v>
      </c>
      <c r="D10" s="9" t="s">
        <v>29</v>
      </c>
      <c r="E10" s="9" t="s">
        <v>30</v>
      </c>
      <c r="F10" s="9" t="s">
        <v>31</v>
      </c>
      <c r="G10" s="9" t="s">
        <v>32</v>
      </c>
      <c r="H10" s="10">
        <v>47.5</v>
      </c>
      <c r="I10" s="10">
        <v>0.4209</v>
      </c>
      <c r="J10" s="13">
        <f t="shared" si="1"/>
        <v>112.8534094</v>
      </c>
      <c r="K10" s="16" t="str">
        <f t="shared" si="2"/>
        <v>Cheap</v>
      </c>
      <c r="L10" s="16" t="str">
        <f t="shared" si="3"/>
        <v>Affordable</v>
      </c>
      <c r="Q10" s="12" t="str">
        <f>IFERROR(__xludf.DUMMYFUNCTION("IFERROR(REGEXEXTRACT(B10:B15,""Nakuru|Eldorat""),""No Mention"")"),"Nakuru")</f>
        <v>Nakuru</v>
      </c>
    </row>
    <row r="11">
      <c r="A11" s="8">
        <v>44545.0</v>
      </c>
      <c r="B11" s="9" t="s">
        <v>39</v>
      </c>
      <c r="C11" s="9" t="s">
        <v>28</v>
      </c>
      <c r="D11" s="9" t="s">
        <v>29</v>
      </c>
      <c r="E11" s="9" t="s">
        <v>30</v>
      </c>
      <c r="F11" s="9" t="s">
        <v>31</v>
      </c>
      <c r="G11" s="9" t="s">
        <v>32</v>
      </c>
      <c r="H11" s="10">
        <v>40.0</v>
      </c>
      <c r="I11" s="10">
        <v>0.3545</v>
      </c>
      <c r="J11" s="13">
        <f t="shared" si="1"/>
        <v>112.8349788</v>
      </c>
      <c r="K11" s="16" t="str">
        <f t="shared" si="2"/>
        <v>Cheap</v>
      </c>
      <c r="L11" s="16" t="str">
        <f t="shared" si="3"/>
        <v>Affordable</v>
      </c>
      <c r="Q11" s="12" t="str">
        <f>IFERROR(__xludf.DUMMYFUNCTION("IFERROR(REGEXEXTRACT(B11:B16,""Nakuru|Eldorat""),""No Mention"")"),"No Mention")</f>
        <v>No Mention</v>
      </c>
    </row>
    <row r="12">
      <c r="A12" s="8">
        <v>44545.0</v>
      </c>
      <c r="B12" s="9" t="s">
        <v>41</v>
      </c>
      <c r="C12" s="9" t="s">
        <v>28</v>
      </c>
      <c r="D12" s="9" t="s">
        <v>29</v>
      </c>
      <c r="E12" s="9" t="s">
        <v>30</v>
      </c>
      <c r="F12" s="9" t="s">
        <v>31</v>
      </c>
      <c r="G12" s="9" t="s">
        <v>32</v>
      </c>
      <c r="H12" s="10">
        <v>25.0</v>
      </c>
      <c r="I12" s="10">
        <v>0.2215</v>
      </c>
      <c r="J12" s="13">
        <f t="shared" si="1"/>
        <v>112.8668172</v>
      </c>
      <c r="K12" s="16" t="str">
        <f t="shared" si="2"/>
        <v>Cheap</v>
      </c>
      <c r="L12" s="16" t="str">
        <f t="shared" si="3"/>
        <v>Cheap</v>
      </c>
      <c r="Q12" s="12" t="str">
        <f>IFERROR(__xludf.DUMMYFUNCTION("IFERROR(REGEXEXTRACT(B12:B17,""Nakuru|Eldorat""),""No Mention"")"),"No Mention")</f>
        <v>No Mention</v>
      </c>
    </row>
    <row r="13">
      <c r="A13" s="14">
        <v>44576.0</v>
      </c>
      <c r="B13" s="4" t="s">
        <v>27</v>
      </c>
      <c r="C13" s="4" t="s">
        <v>28</v>
      </c>
      <c r="D13" s="4" t="s">
        <v>29</v>
      </c>
      <c r="E13" s="4" t="s">
        <v>30</v>
      </c>
      <c r="F13" s="9" t="s">
        <v>31</v>
      </c>
      <c r="G13" s="4" t="s">
        <v>32</v>
      </c>
      <c r="H13" s="15">
        <v>50.0</v>
      </c>
      <c r="I13" s="15">
        <v>0.4411</v>
      </c>
      <c r="J13" s="13">
        <f t="shared" si="1"/>
        <v>113.3529812</v>
      </c>
      <c r="K13" s="16" t="str">
        <f t="shared" si="2"/>
        <v>expensive</v>
      </c>
      <c r="L13" s="16" t="str">
        <f t="shared" si="3"/>
        <v>Affordable</v>
      </c>
      <c r="Q13" s="12" t="str">
        <f>IFERROR(__xludf.DUMMYFUNCTION("IFERROR(REGEXEXTRACT(B13:B18,""Nakuru|Eldorat""),""No Mention"")"),"No Mention")</f>
        <v>No Mention</v>
      </c>
    </row>
    <row r="14">
      <c r="A14" s="14">
        <v>44576.0</v>
      </c>
      <c r="B14" s="4" t="s">
        <v>33</v>
      </c>
      <c r="C14" s="4" t="s">
        <v>28</v>
      </c>
      <c r="D14" s="4" t="s">
        <v>29</v>
      </c>
      <c r="E14" s="4" t="s">
        <v>45</v>
      </c>
      <c r="F14" s="9" t="s">
        <v>31</v>
      </c>
      <c r="G14" s="4" t="s">
        <v>32</v>
      </c>
      <c r="H14" s="15">
        <v>250.0</v>
      </c>
      <c r="I14" s="15">
        <v>2.2055</v>
      </c>
      <c r="J14" s="13">
        <f t="shared" si="1"/>
        <v>113.3529812</v>
      </c>
      <c r="K14" s="16" t="str">
        <f t="shared" si="2"/>
        <v>expensive</v>
      </c>
      <c r="L14" s="16" t="str">
        <f t="shared" si="3"/>
        <v>expensive</v>
      </c>
      <c r="Q14" s="12" t="str">
        <f>IFERROR(__xludf.DUMMYFUNCTION("IFERROR(REGEXEXTRACT(B14:B19,""Nakuru|Eldorat""),""No Mention"")"),"No Mention")</f>
        <v>No Mention</v>
      </c>
    </row>
    <row r="15">
      <c r="A15" s="14">
        <v>44576.0</v>
      </c>
      <c r="B15" s="4" t="s">
        <v>36</v>
      </c>
      <c r="C15" s="4" t="s">
        <v>28</v>
      </c>
      <c r="D15" s="4" t="s">
        <v>29</v>
      </c>
      <c r="E15" s="4" t="s">
        <v>30</v>
      </c>
      <c r="F15" s="9" t="s">
        <v>31</v>
      </c>
      <c r="G15" s="4" t="s">
        <v>32</v>
      </c>
      <c r="H15" s="15">
        <v>50.0</v>
      </c>
      <c r="I15" s="15">
        <v>0.4411</v>
      </c>
      <c r="J15" s="13">
        <f t="shared" si="1"/>
        <v>113.3529812</v>
      </c>
      <c r="K15" s="16" t="str">
        <f t="shared" si="2"/>
        <v>expensive</v>
      </c>
      <c r="L15" s="16" t="str">
        <f t="shared" si="3"/>
        <v>Affordable</v>
      </c>
      <c r="Q15" s="12" t="str">
        <f>IFERROR(__xludf.DUMMYFUNCTION("IFERROR(REGEXEXTRACT(B15:B20,""Nakuru|Eldorat""),""No Mention"")"),"No Mention")</f>
        <v>No Mention</v>
      </c>
    </row>
    <row r="16">
      <c r="A16" s="14">
        <v>44576.0</v>
      </c>
      <c r="B16" s="4" t="s">
        <v>37</v>
      </c>
      <c r="C16" s="4" t="s">
        <v>28</v>
      </c>
      <c r="D16" s="4" t="s">
        <v>29</v>
      </c>
      <c r="E16" s="4" t="s">
        <v>30</v>
      </c>
      <c r="F16" s="9" t="s">
        <v>31</v>
      </c>
      <c r="G16" s="4" t="s">
        <v>32</v>
      </c>
      <c r="H16" s="15">
        <v>45.0</v>
      </c>
      <c r="I16" s="15">
        <v>0.397</v>
      </c>
      <c r="J16" s="13">
        <f t="shared" si="1"/>
        <v>113.3501259</v>
      </c>
      <c r="K16" s="16" t="str">
        <f t="shared" si="2"/>
        <v>Cheap</v>
      </c>
      <c r="L16" s="16" t="str">
        <f t="shared" si="3"/>
        <v>Affordable</v>
      </c>
      <c r="Q16" s="12" t="str">
        <f>IFERROR(__xludf.DUMMYFUNCTION("IFERROR(REGEXEXTRACT(B16:B21,""Nakuru|Eldorat""),""No Mention"")"),"No Mention")</f>
        <v>No Mention</v>
      </c>
    </row>
    <row r="17">
      <c r="A17" s="14">
        <v>44576.0</v>
      </c>
      <c r="B17" s="4" t="s">
        <v>38</v>
      </c>
      <c r="C17" s="4" t="s">
        <v>28</v>
      </c>
      <c r="D17" s="4" t="s">
        <v>29</v>
      </c>
      <c r="E17" s="4" t="s">
        <v>30</v>
      </c>
      <c r="F17" s="9" t="s">
        <v>31</v>
      </c>
      <c r="G17" s="4" t="s">
        <v>32</v>
      </c>
      <c r="H17" s="15">
        <v>60.0</v>
      </c>
      <c r="I17" s="15">
        <v>0.5293</v>
      </c>
      <c r="J17" s="13">
        <f t="shared" si="1"/>
        <v>113.3572643</v>
      </c>
      <c r="K17" s="16" t="str">
        <f t="shared" si="2"/>
        <v>expensive</v>
      </c>
      <c r="L17" s="16" t="str">
        <f t="shared" si="3"/>
        <v>Affordable</v>
      </c>
      <c r="Q17" s="12" t="str">
        <f>IFERROR(__xludf.DUMMYFUNCTION("IFERROR(REGEXEXTRACT(B17:B22,""Nakuru|Eldorat""),""No Mention"")"),"No Mention")</f>
        <v>No Mention</v>
      </c>
    </row>
    <row r="18">
      <c r="A18" s="14">
        <v>44576.0</v>
      </c>
      <c r="B18" s="4" t="s">
        <v>40</v>
      </c>
      <c r="C18" s="4" t="s">
        <v>28</v>
      </c>
      <c r="D18" s="4" t="s">
        <v>29</v>
      </c>
      <c r="E18" s="4" t="s">
        <v>30</v>
      </c>
      <c r="F18" s="9" t="s">
        <v>31</v>
      </c>
      <c r="G18" s="4" t="s">
        <v>32</v>
      </c>
      <c r="H18" s="15">
        <v>60.0</v>
      </c>
      <c r="I18" s="15">
        <v>0.5293</v>
      </c>
      <c r="J18" s="13">
        <f t="shared" si="1"/>
        <v>113.3572643</v>
      </c>
      <c r="K18" s="16" t="str">
        <f t="shared" si="2"/>
        <v>expensive</v>
      </c>
      <c r="L18" s="16" t="str">
        <f t="shared" si="3"/>
        <v>Affordable</v>
      </c>
      <c r="Q18" s="12" t="str">
        <f>IFERROR(__xludf.DUMMYFUNCTION("IFERROR(REGEXEXTRACT(B18:B23,""Nakuru|Eldorat""),""No Mention"")"),"No Mention")</f>
        <v>No Mention</v>
      </c>
    </row>
    <row r="19">
      <c r="A19" s="14">
        <v>44576.0</v>
      </c>
      <c r="B19" s="4" t="s">
        <v>42</v>
      </c>
      <c r="C19" s="4" t="s">
        <v>28</v>
      </c>
      <c r="D19" s="4" t="s">
        <v>29</v>
      </c>
      <c r="E19" s="4" t="s">
        <v>30</v>
      </c>
      <c r="F19" s="9" t="s">
        <v>31</v>
      </c>
      <c r="G19" s="4" t="s">
        <v>32</v>
      </c>
      <c r="H19" s="15">
        <v>68.75</v>
      </c>
      <c r="I19" s="15">
        <v>0.6065</v>
      </c>
      <c r="J19" s="13">
        <f t="shared" si="1"/>
        <v>113.3553174</v>
      </c>
      <c r="K19" s="16" t="str">
        <f t="shared" si="2"/>
        <v>expensive</v>
      </c>
      <c r="L19" s="16" t="str">
        <f t="shared" si="3"/>
        <v>expensive</v>
      </c>
      <c r="Q19" s="12" t="str">
        <f>IFERROR(__xludf.DUMMYFUNCTION("IFERROR(REGEXEXTRACT(B19:B24,""Nakuru|Eldorat""),""No Mention"")"),"No Mention")</f>
        <v>No Mention</v>
      </c>
    </row>
    <row r="20">
      <c r="A20" s="14">
        <v>44576.0</v>
      </c>
      <c r="B20" s="4" t="s">
        <v>43</v>
      </c>
      <c r="C20" s="4" t="s">
        <v>28</v>
      </c>
      <c r="D20" s="4" t="s">
        <v>29</v>
      </c>
      <c r="E20" s="4" t="s">
        <v>30</v>
      </c>
      <c r="F20" s="9" t="s">
        <v>31</v>
      </c>
      <c r="G20" s="4" t="s">
        <v>32</v>
      </c>
      <c r="H20" s="15">
        <v>44.38</v>
      </c>
      <c r="I20" s="15">
        <v>0.3915</v>
      </c>
      <c r="J20" s="13">
        <f t="shared" si="1"/>
        <v>113.3588761</v>
      </c>
      <c r="K20" s="16" t="str">
        <f t="shared" si="2"/>
        <v>Cheap</v>
      </c>
      <c r="L20" s="16" t="str">
        <f t="shared" si="3"/>
        <v>Affordable</v>
      </c>
      <c r="Q20" s="12" t="str">
        <f>IFERROR(__xludf.DUMMYFUNCTION("IFERROR(REGEXEXTRACT(B20:B25,""Nakuru|Eldorat""),""No Mention"")"),"Nakuru")</f>
        <v>Nakuru</v>
      </c>
    </row>
    <row r="21">
      <c r="A21" s="14">
        <v>44576.0</v>
      </c>
      <c r="B21" s="4" t="s">
        <v>39</v>
      </c>
      <c r="C21" s="4" t="s">
        <v>28</v>
      </c>
      <c r="D21" s="4" t="s">
        <v>29</v>
      </c>
      <c r="E21" s="4" t="s">
        <v>30</v>
      </c>
      <c r="F21" s="9" t="s">
        <v>31</v>
      </c>
      <c r="G21" s="4" t="s">
        <v>32</v>
      </c>
      <c r="H21" s="15">
        <v>48.75</v>
      </c>
      <c r="I21" s="15">
        <v>0.4301</v>
      </c>
      <c r="J21" s="13">
        <f t="shared" si="1"/>
        <v>113.3457336</v>
      </c>
      <c r="K21" s="16" t="str">
        <f t="shared" si="2"/>
        <v>Cheap</v>
      </c>
      <c r="L21" s="16" t="str">
        <f t="shared" si="3"/>
        <v>Affordable</v>
      </c>
      <c r="Q21" s="12" t="str">
        <f>IFERROR(__xludf.DUMMYFUNCTION("IFERROR(REGEXEXTRACT(B21:B26,""Nakuru|Eldorat""),""No Mention"")"),"No Mention")</f>
        <v>No Mention</v>
      </c>
    </row>
    <row r="22">
      <c r="A22" s="14">
        <v>44576.0</v>
      </c>
      <c r="B22" s="4" t="s">
        <v>41</v>
      </c>
      <c r="C22" s="4" t="s">
        <v>28</v>
      </c>
      <c r="D22" s="4" t="s">
        <v>29</v>
      </c>
      <c r="E22" s="4" t="s">
        <v>30</v>
      </c>
      <c r="F22" s="9" t="s">
        <v>31</v>
      </c>
      <c r="G22" s="4" t="s">
        <v>32</v>
      </c>
      <c r="H22" s="15">
        <v>47.17</v>
      </c>
      <c r="I22" s="15">
        <v>0.4161</v>
      </c>
      <c r="J22" s="13">
        <f t="shared" si="1"/>
        <v>113.3621726</v>
      </c>
      <c r="K22" s="16" t="str">
        <f t="shared" si="2"/>
        <v>Cheap</v>
      </c>
      <c r="L22" s="16" t="str">
        <f t="shared" si="3"/>
        <v>Affordable</v>
      </c>
      <c r="Q22" s="12" t="str">
        <f>IFERROR(__xludf.DUMMYFUNCTION("IFERROR(REGEXEXTRACT(B22:B27,""Nakuru|Eldorat""),""No Mention"")"),"No Mention")</f>
        <v>No Mention</v>
      </c>
    </row>
    <row r="23">
      <c r="A23" s="14">
        <v>44607.0</v>
      </c>
      <c r="B23" s="4" t="s">
        <v>27</v>
      </c>
      <c r="C23" s="4" t="s">
        <v>28</v>
      </c>
      <c r="D23" s="4" t="s">
        <v>29</v>
      </c>
      <c r="E23" s="4" t="s">
        <v>30</v>
      </c>
      <c r="F23" s="9" t="s">
        <v>31</v>
      </c>
      <c r="G23" s="4" t="s">
        <v>32</v>
      </c>
      <c r="H23" s="15">
        <v>53.62</v>
      </c>
      <c r="I23" s="15">
        <v>0.4731</v>
      </c>
      <c r="J23" s="13">
        <f t="shared" si="1"/>
        <v>113.3375608</v>
      </c>
      <c r="K23" s="16" t="str">
        <f t="shared" si="2"/>
        <v>expensive</v>
      </c>
      <c r="L23" s="16" t="str">
        <f t="shared" si="3"/>
        <v>Affordable</v>
      </c>
      <c r="Q23" s="12" t="str">
        <f>IFERROR(__xludf.DUMMYFUNCTION("IFERROR(REGEXEXTRACT(B23:B28,""Nakuru|Eldorat""),""No Mention"")"),"No Mention")</f>
        <v>No Mention</v>
      </c>
    </row>
    <row r="24">
      <c r="A24" s="14">
        <v>44607.0</v>
      </c>
      <c r="B24" s="4" t="s">
        <v>33</v>
      </c>
      <c r="C24" s="4" t="s">
        <v>28</v>
      </c>
      <c r="D24" s="4" t="s">
        <v>29</v>
      </c>
      <c r="E24" s="4" t="s">
        <v>30</v>
      </c>
      <c r="F24" s="9" t="s">
        <v>31</v>
      </c>
      <c r="G24" s="4" t="s">
        <v>32</v>
      </c>
      <c r="H24" s="15">
        <v>54.33</v>
      </c>
      <c r="I24" s="15">
        <v>0.4793</v>
      </c>
      <c r="J24" s="13">
        <f t="shared" si="1"/>
        <v>113.3528062</v>
      </c>
      <c r="K24" s="16" t="str">
        <f t="shared" si="2"/>
        <v>expensive</v>
      </c>
      <c r="L24" s="16" t="str">
        <f t="shared" si="3"/>
        <v>Affordable</v>
      </c>
      <c r="Q24" s="12" t="str">
        <f>IFERROR(__xludf.DUMMYFUNCTION("IFERROR(REGEXEXTRACT(B24:B29,""Nakuru|Eldorat""),""No Mention"")"),"No Mention")</f>
        <v>No Mention</v>
      </c>
    </row>
    <row r="25">
      <c r="A25" s="14">
        <v>44607.0</v>
      </c>
      <c r="B25" s="4" t="s">
        <v>36</v>
      </c>
      <c r="C25" s="4" t="s">
        <v>28</v>
      </c>
      <c r="D25" s="4" t="s">
        <v>29</v>
      </c>
      <c r="E25" s="4" t="s">
        <v>30</v>
      </c>
      <c r="F25" s="9" t="s">
        <v>31</v>
      </c>
      <c r="G25" s="4" t="s">
        <v>32</v>
      </c>
      <c r="H25" s="15">
        <v>47.33</v>
      </c>
      <c r="I25" s="15">
        <v>0.4176</v>
      </c>
      <c r="J25" s="13">
        <f t="shared" si="1"/>
        <v>113.3381226</v>
      </c>
      <c r="K25" s="16" t="str">
        <f t="shared" si="2"/>
        <v>Cheap</v>
      </c>
      <c r="L25" s="16" t="str">
        <f t="shared" si="3"/>
        <v>Affordable</v>
      </c>
      <c r="Q25" s="12" t="str">
        <f>IFERROR(__xludf.DUMMYFUNCTION("IFERROR(REGEXEXTRACT(B25:B30,""Nakuru|Eldorat""),""No Mention"")"),"No Mention")</f>
        <v>No Mention</v>
      </c>
    </row>
    <row r="26">
      <c r="A26" s="14">
        <v>44607.0</v>
      </c>
      <c r="B26" s="4" t="s">
        <v>37</v>
      </c>
      <c r="C26" s="4" t="s">
        <v>28</v>
      </c>
      <c r="D26" s="4" t="s">
        <v>29</v>
      </c>
      <c r="E26" s="4" t="s">
        <v>30</v>
      </c>
      <c r="F26" s="9" t="s">
        <v>31</v>
      </c>
      <c r="G26" s="4" t="s">
        <v>32</v>
      </c>
      <c r="H26" s="15">
        <f>250/5</f>
        <v>50</v>
      </c>
      <c r="I26" s="15">
        <v>0.4411</v>
      </c>
      <c r="J26" s="13">
        <f t="shared" si="1"/>
        <v>113.3529812</v>
      </c>
      <c r="K26" s="16" t="str">
        <f t="shared" si="2"/>
        <v>expensive</v>
      </c>
      <c r="L26" s="16" t="str">
        <f t="shared" si="3"/>
        <v>Affordable</v>
      </c>
      <c r="Q26" s="12" t="str">
        <f>IFERROR(__xludf.DUMMYFUNCTION("IFERROR(REGEXEXTRACT(B26:B31,""Nakuru|Eldorat""),""No Mention"")"),"No Mention")</f>
        <v>No Mention</v>
      </c>
    </row>
    <row r="27">
      <c r="A27" s="14">
        <v>44607.0</v>
      </c>
      <c r="B27" s="4" t="s">
        <v>38</v>
      </c>
      <c r="C27" s="4" t="s">
        <v>28</v>
      </c>
      <c r="D27" s="4" t="s">
        <v>29</v>
      </c>
      <c r="E27" s="4" t="s">
        <v>30</v>
      </c>
      <c r="F27" s="9" t="s">
        <v>31</v>
      </c>
      <c r="G27" s="4" t="s">
        <v>32</v>
      </c>
      <c r="H27" s="15">
        <v>47.17</v>
      </c>
      <c r="I27" s="15">
        <v>0.4161</v>
      </c>
      <c r="J27" s="13">
        <f t="shared" si="1"/>
        <v>113.3621726</v>
      </c>
      <c r="K27" s="16" t="str">
        <f t="shared" si="2"/>
        <v>Cheap</v>
      </c>
      <c r="L27" s="16" t="str">
        <f t="shared" si="3"/>
        <v>Affordable</v>
      </c>
      <c r="Q27" s="12" t="str">
        <f>IFERROR(__xludf.DUMMYFUNCTION("IFERROR(REGEXEXTRACT(B27:B32,""Nakuru|Eldorat""),""No Mention"")"),"No Mention")</f>
        <v>No Mention</v>
      </c>
    </row>
    <row r="28">
      <c r="A28" s="14">
        <v>44607.0</v>
      </c>
      <c r="B28" s="4" t="s">
        <v>40</v>
      </c>
      <c r="C28" s="4" t="s">
        <v>28</v>
      </c>
      <c r="D28" s="4" t="s">
        <v>29</v>
      </c>
      <c r="E28" s="4" t="s">
        <v>30</v>
      </c>
      <c r="F28" s="9" t="s">
        <v>31</v>
      </c>
      <c r="G28" s="4" t="s">
        <v>32</v>
      </c>
      <c r="H28" s="15">
        <v>50.0</v>
      </c>
      <c r="I28" s="15">
        <v>0.4411</v>
      </c>
      <c r="J28" s="13">
        <f t="shared" si="1"/>
        <v>113.3529812</v>
      </c>
      <c r="K28" s="16" t="str">
        <f t="shared" si="2"/>
        <v>expensive</v>
      </c>
      <c r="L28" s="16" t="str">
        <f t="shared" si="3"/>
        <v>Affordable</v>
      </c>
      <c r="Q28" s="12" t="str">
        <f>IFERROR(__xludf.DUMMYFUNCTION("IFERROR(REGEXEXTRACT(B28:B33,""Nakuru|Eldorat""),""No Mention"")"),"No Mention")</f>
        <v>No Mention</v>
      </c>
    </row>
    <row r="29">
      <c r="A29" s="14">
        <v>44607.0</v>
      </c>
      <c r="B29" s="4" t="s">
        <v>42</v>
      </c>
      <c r="C29" s="4" t="s">
        <v>28</v>
      </c>
      <c r="D29" s="4" t="s">
        <v>29</v>
      </c>
      <c r="E29" s="4" t="s">
        <v>30</v>
      </c>
      <c r="F29" s="9" t="s">
        <v>31</v>
      </c>
      <c r="G29" s="4" t="s">
        <v>32</v>
      </c>
      <c r="H29" s="15">
        <v>68.75</v>
      </c>
      <c r="I29" s="15">
        <v>0.6103</v>
      </c>
      <c r="J29" s="13">
        <f t="shared" si="1"/>
        <v>112.6495166</v>
      </c>
      <c r="K29" s="16" t="str">
        <f t="shared" si="2"/>
        <v>expensive</v>
      </c>
      <c r="L29" s="16" t="str">
        <f t="shared" si="3"/>
        <v>expensive</v>
      </c>
      <c r="Q29" s="12" t="str">
        <f>IFERROR(__xludf.DUMMYFUNCTION("IFERROR(REGEXEXTRACT(B29:B34,""Nakuru|Eldorat""),""No Mention"")"),"No Mention")</f>
        <v>No Mention</v>
      </c>
    </row>
    <row r="30">
      <c r="A30" s="14">
        <v>44607.0</v>
      </c>
      <c r="B30" s="4" t="s">
        <v>43</v>
      </c>
      <c r="C30" s="4" t="s">
        <v>28</v>
      </c>
      <c r="D30" s="4" t="s">
        <v>29</v>
      </c>
      <c r="E30" s="4" t="s">
        <v>30</v>
      </c>
      <c r="F30" s="9" t="s">
        <v>31</v>
      </c>
      <c r="G30" s="4" t="s">
        <v>32</v>
      </c>
      <c r="H30" s="15">
        <v>50.0</v>
      </c>
      <c r="I30" s="15">
        <v>0.4439</v>
      </c>
      <c r="J30" s="13">
        <f t="shared" si="1"/>
        <v>112.6379815</v>
      </c>
      <c r="K30" s="16" t="str">
        <f t="shared" si="2"/>
        <v>expensive</v>
      </c>
      <c r="L30" s="16" t="str">
        <f t="shared" si="3"/>
        <v>Affordable</v>
      </c>
      <c r="Q30" s="12" t="str">
        <f>IFERROR(__xludf.DUMMYFUNCTION("IFERROR(REGEXEXTRACT(B30:B35,""Nakuru|Eldorat""),""No Mention"")"),"Nakuru")</f>
        <v>Nakuru</v>
      </c>
    </row>
    <row r="31">
      <c r="A31" s="14">
        <v>44607.0</v>
      </c>
      <c r="B31" s="4" t="s">
        <v>39</v>
      </c>
      <c r="C31" s="4" t="s">
        <v>28</v>
      </c>
      <c r="D31" s="4" t="s">
        <v>29</v>
      </c>
      <c r="E31" s="4" t="s">
        <v>45</v>
      </c>
      <c r="F31" s="9" t="s">
        <v>31</v>
      </c>
      <c r="G31" s="4" t="s">
        <v>32</v>
      </c>
      <c r="H31" s="15">
        <v>200.0</v>
      </c>
      <c r="I31" s="15">
        <v>1.7755</v>
      </c>
      <c r="J31" s="13">
        <f t="shared" si="1"/>
        <v>112.6443255</v>
      </c>
      <c r="K31" s="16" t="str">
        <f t="shared" si="2"/>
        <v>expensive</v>
      </c>
      <c r="L31" s="16" t="str">
        <f t="shared" si="3"/>
        <v>expensive</v>
      </c>
      <c r="Q31" s="12" t="str">
        <f>IFERROR(__xludf.DUMMYFUNCTION("IFERROR(REGEXEXTRACT(B31:B36,""Nakuru|Eldorat""),""No Mention"")"),"No Mention")</f>
        <v>No Mention</v>
      </c>
    </row>
    <row r="32">
      <c r="A32" s="14">
        <v>44607.0</v>
      </c>
      <c r="B32" s="4" t="s">
        <v>41</v>
      </c>
      <c r="C32" s="4" t="s">
        <v>28</v>
      </c>
      <c r="D32" s="4" t="s">
        <v>29</v>
      </c>
      <c r="E32" s="4" t="s">
        <v>30</v>
      </c>
      <c r="F32" s="9" t="s">
        <v>31</v>
      </c>
      <c r="G32" s="4" t="s">
        <v>32</v>
      </c>
      <c r="H32" s="15">
        <v>45.38</v>
      </c>
      <c r="I32" s="15">
        <v>0.4029</v>
      </c>
      <c r="J32" s="13">
        <f t="shared" si="1"/>
        <v>112.6334078</v>
      </c>
      <c r="K32" s="16" t="str">
        <f t="shared" si="2"/>
        <v>Cheap</v>
      </c>
      <c r="L32" s="16" t="str">
        <f t="shared" si="3"/>
        <v>Affordable</v>
      </c>
      <c r="Q32" s="12" t="str">
        <f>IFERROR(__xludf.DUMMYFUNCTION("IFERROR(REGEXEXTRACT(B32:B37,""Nakuru|Eldorat""),""No Mention"")"),"No Mention")</f>
        <v>No Mention</v>
      </c>
    </row>
    <row r="33">
      <c r="A33" s="14">
        <v>44635.0</v>
      </c>
      <c r="B33" s="4" t="s">
        <v>27</v>
      </c>
      <c r="C33" s="4" t="s">
        <v>28</v>
      </c>
      <c r="D33" s="4" t="s">
        <v>29</v>
      </c>
      <c r="E33" s="4" t="s">
        <v>30</v>
      </c>
      <c r="F33" s="9" t="s">
        <v>31</v>
      </c>
      <c r="G33" s="4" t="s">
        <v>32</v>
      </c>
      <c r="H33" s="15">
        <v>42.69</v>
      </c>
      <c r="I33" s="15">
        <v>0.379</v>
      </c>
      <c r="J33" s="13">
        <f t="shared" si="1"/>
        <v>112.6385224</v>
      </c>
      <c r="K33" s="16" t="str">
        <f t="shared" si="2"/>
        <v>Cheap</v>
      </c>
      <c r="L33" s="16" t="str">
        <f t="shared" si="3"/>
        <v>Affordable</v>
      </c>
      <c r="Q33" s="12" t="str">
        <f>IFERROR(__xludf.DUMMYFUNCTION("IFERROR(REGEXEXTRACT(B33:B38,""Nakuru|Eldorat""),""No Mention"")"),"No Mention")</f>
        <v>No Mention</v>
      </c>
    </row>
    <row r="34">
      <c r="A34" s="14">
        <v>44635.0</v>
      </c>
      <c r="B34" s="4" t="s">
        <v>33</v>
      </c>
      <c r="C34" s="4" t="s">
        <v>28</v>
      </c>
      <c r="D34" s="4" t="s">
        <v>29</v>
      </c>
      <c r="E34" s="4" t="s">
        <v>30</v>
      </c>
      <c r="F34" s="9" t="s">
        <v>31</v>
      </c>
      <c r="G34" s="4" t="s">
        <v>32</v>
      </c>
      <c r="H34" s="15">
        <v>46.54</v>
      </c>
      <c r="I34" s="15">
        <v>0.4131</v>
      </c>
      <c r="J34" s="13">
        <f t="shared" si="1"/>
        <v>112.6603728</v>
      </c>
      <c r="K34" s="16" t="str">
        <f t="shared" si="2"/>
        <v>Cheap</v>
      </c>
      <c r="L34" s="16" t="str">
        <f t="shared" si="3"/>
        <v>Affordable</v>
      </c>
      <c r="Q34" s="12" t="str">
        <f>IFERROR(__xludf.DUMMYFUNCTION("IFERROR(REGEXEXTRACT(B34:B39,""Nakuru|Eldorat""),""No Mention"")"),"No Mention")</f>
        <v>No Mention</v>
      </c>
    </row>
    <row r="35">
      <c r="A35" s="14">
        <v>44635.0</v>
      </c>
      <c r="B35" s="4" t="s">
        <v>36</v>
      </c>
      <c r="C35" s="4" t="s">
        <v>28</v>
      </c>
      <c r="D35" s="4" t="s">
        <v>29</v>
      </c>
      <c r="E35" s="4" t="s">
        <v>30</v>
      </c>
      <c r="F35" s="9" t="s">
        <v>31</v>
      </c>
      <c r="G35" s="4" t="s">
        <v>32</v>
      </c>
      <c r="H35" s="15">
        <v>42.77</v>
      </c>
      <c r="I35" s="15">
        <v>0.3797</v>
      </c>
      <c r="J35" s="13">
        <f t="shared" si="1"/>
        <v>112.6415591</v>
      </c>
      <c r="K35" s="16" t="str">
        <f t="shared" si="2"/>
        <v>Cheap</v>
      </c>
      <c r="L35" s="16" t="str">
        <f t="shared" si="3"/>
        <v>Affordable</v>
      </c>
      <c r="Q35" s="12" t="str">
        <f>IFERROR(__xludf.DUMMYFUNCTION("IFERROR(REGEXEXTRACT(B35:B40,""Nakuru|Eldorat""),""No Mention"")"),"No Mention")</f>
        <v>No Mention</v>
      </c>
    </row>
    <row r="36">
      <c r="A36" s="14">
        <v>44635.0</v>
      </c>
      <c r="B36" s="4" t="s">
        <v>37</v>
      </c>
      <c r="C36" s="4" t="s">
        <v>28</v>
      </c>
      <c r="D36" s="4" t="s">
        <v>29</v>
      </c>
      <c r="E36" s="4" t="s">
        <v>30</v>
      </c>
      <c r="F36" s="9" t="s">
        <v>31</v>
      </c>
      <c r="G36" s="4" t="s">
        <v>32</v>
      </c>
      <c r="H36" s="15">
        <v>45.0</v>
      </c>
      <c r="I36" s="15">
        <v>0.3995</v>
      </c>
      <c r="J36" s="13">
        <f t="shared" si="1"/>
        <v>112.640801</v>
      </c>
      <c r="K36" s="16" t="str">
        <f t="shared" si="2"/>
        <v>Cheap</v>
      </c>
      <c r="L36" s="16" t="str">
        <f t="shared" si="3"/>
        <v>Affordable</v>
      </c>
      <c r="Q36" s="12" t="str">
        <f>IFERROR(__xludf.DUMMYFUNCTION("IFERROR(REGEXEXTRACT(B36:B41,""Nakuru|Eldorat""),""No Mention"")"),"No Mention")</f>
        <v>No Mention</v>
      </c>
    </row>
    <row r="37">
      <c r="A37" s="14">
        <v>44635.0</v>
      </c>
      <c r="B37" s="4" t="s">
        <v>38</v>
      </c>
      <c r="C37" s="4" t="s">
        <v>28</v>
      </c>
      <c r="D37" s="4" t="s">
        <v>29</v>
      </c>
      <c r="E37" s="4" t="s">
        <v>30</v>
      </c>
      <c r="F37" s="9" t="s">
        <v>31</v>
      </c>
      <c r="G37" s="4" t="s">
        <v>32</v>
      </c>
      <c r="H37" s="15">
        <v>46.35</v>
      </c>
      <c r="I37" s="15">
        <v>0.4114</v>
      </c>
      <c r="J37" s="13">
        <f t="shared" si="1"/>
        <v>112.6640739</v>
      </c>
      <c r="K37" s="16" t="str">
        <f t="shared" si="2"/>
        <v>Cheap</v>
      </c>
      <c r="L37" s="16" t="str">
        <f t="shared" si="3"/>
        <v>Affordable</v>
      </c>
      <c r="Q37" s="12" t="str">
        <f>IFERROR(__xludf.DUMMYFUNCTION("IFERROR(REGEXEXTRACT(B37:B42,""Nakuru|Eldorat""),""No Mention"")"),"No Mention")</f>
        <v>No Mention</v>
      </c>
    </row>
    <row r="38">
      <c r="A38" s="14">
        <v>44635.0</v>
      </c>
      <c r="B38" s="4" t="s">
        <v>40</v>
      </c>
      <c r="C38" s="4" t="s">
        <v>28</v>
      </c>
      <c r="D38" s="4" t="s">
        <v>29</v>
      </c>
      <c r="E38" s="4" t="s">
        <v>30</v>
      </c>
      <c r="F38" s="9" t="s">
        <v>31</v>
      </c>
      <c r="G38" s="4" t="s">
        <v>32</v>
      </c>
      <c r="H38" s="15">
        <v>47.31</v>
      </c>
      <c r="I38" s="15">
        <v>0.42</v>
      </c>
      <c r="J38" s="13">
        <f t="shared" si="1"/>
        <v>112.6428571</v>
      </c>
      <c r="K38" s="16" t="str">
        <f t="shared" si="2"/>
        <v>Cheap</v>
      </c>
      <c r="L38" s="16" t="str">
        <f t="shared" si="3"/>
        <v>Affordable</v>
      </c>
      <c r="Q38" s="12" t="str">
        <f>IFERROR(__xludf.DUMMYFUNCTION("IFERROR(REGEXEXTRACT(B38:B43,""Nakuru|Eldorat""),""No Mention"")"),"No Mention")</f>
        <v>No Mention</v>
      </c>
    </row>
    <row r="39">
      <c r="A39" s="14">
        <v>44635.0</v>
      </c>
      <c r="B39" s="4" t="s">
        <v>42</v>
      </c>
      <c r="C39" s="4" t="s">
        <v>28</v>
      </c>
      <c r="D39" s="4" t="s">
        <v>29</v>
      </c>
      <c r="E39" s="4" t="s">
        <v>30</v>
      </c>
      <c r="F39" s="9" t="s">
        <v>31</v>
      </c>
      <c r="G39" s="4" t="s">
        <v>32</v>
      </c>
      <c r="H39" s="15">
        <v>36.85</v>
      </c>
      <c r="I39" s="15">
        <v>0.3271</v>
      </c>
      <c r="J39" s="13">
        <f t="shared" si="1"/>
        <v>112.6566799</v>
      </c>
      <c r="K39" s="16" t="str">
        <f t="shared" si="2"/>
        <v>Cheap</v>
      </c>
      <c r="L39" s="16" t="str">
        <f t="shared" si="3"/>
        <v>Cheap</v>
      </c>
      <c r="Q39" s="12" t="str">
        <f>IFERROR(__xludf.DUMMYFUNCTION("IFERROR(REGEXEXTRACT(B39:B44,""Nakuru|Eldorat""),""No Mention"")"),"No Mention")</f>
        <v>No Mention</v>
      </c>
    </row>
    <row r="40">
      <c r="A40" s="14">
        <v>44635.0</v>
      </c>
      <c r="B40" s="4" t="s">
        <v>43</v>
      </c>
      <c r="C40" s="4" t="s">
        <v>28</v>
      </c>
      <c r="D40" s="4" t="s">
        <v>29</v>
      </c>
      <c r="E40" s="4" t="s">
        <v>30</v>
      </c>
      <c r="F40" s="9" t="s">
        <v>31</v>
      </c>
      <c r="G40" s="4" t="s">
        <v>32</v>
      </c>
      <c r="H40" s="15">
        <v>60.0</v>
      </c>
      <c r="I40" s="15">
        <v>0.5326</v>
      </c>
      <c r="J40" s="13">
        <f t="shared" si="1"/>
        <v>112.6549005</v>
      </c>
      <c r="K40" s="16" t="str">
        <f t="shared" si="2"/>
        <v>expensive</v>
      </c>
      <c r="L40" s="16" t="str">
        <f t="shared" si="3"/>
        <v>Affordable</v>
      </c>
      <c r="Q40" s="12" t="str">
        <f>IFERROR(__xludf.DUMMYFUNCTION("IFERROR(REGEXEXTRACT(B40:B45,""Nakuru|Eldorat""),""No Mention"")"),"Nakuru")</f>
        <v>Nakuru</v>
      </c>
    </row>
    <row r="41">
      <c r="A41" s="14">
        <v>44270.0</v>
      </c>
      <c r="B41" s="4" t="s">
        <v>40</v>
      </c>
      <c r="C41" s="4" t="s">
        <v>46</v>
      </c>
      <c r="D41" s="4" t="s">
        <v>47</v>
      </c>
      <c r="E41" s="6" t="s">
        <v>48</v>
      </c>
      <c r="F41" s="9" t="s">
        <v>31</v>
      </c>
      <c r="G41" s="4" t="s">
        <v>32</v>
      </c>
      <c r="H41" s="15">
        <v>122.5</v>
      </c>
      <c r="I41" s="15">
        <v>1.09</v>
      </c>
      <c r="J41" s="13">
        <f t="shared" si="1"/>
        <v>112.3853211</v>
      </c>
      <c r="K41" s="16" t="str">
        <f t="shared" si="2"/>
        <v>expensive</v>
      </c>
      <c r="L41" s="16" t="str">
        <f t="shared" si="3"/>
        <v>expensive</v>
      </c>
      <c r="Q41" s="12" t="str">
        <f>IFERROR(__xludf.DUMMYFUNCTION("IFERROR(REGEXEXTRACT(B41:B46,""Nakuru|Eldorat""),""No Mention"")"),"No Mention")</f>
        <v>No Mention</v>
      </c>
    </row>
    <row r="42">
      <c r="A42" s="14">
        <v>44635.0</v>
      </c>
      <c r="B42" s="4" t="s">
        <v>39</v>
      </c>
      <c r="C42" s="4" t="s">
        <v>28</v>
      </c>
      <c r="D42" s="4" t="s">
        <v>29</v>
      </c>
      <c r="E42" s="4" t="s">
        <v>30</v>
      </c>
      <c r="F42" s="9" t="s">
        <v>31</v>
      </c>
      <c r="G42" s="4" t="s">
        <v>32</v>
      </c>
      <c r="H42" s="21">
        <v>45.0</v>
      </c>
      <c r="I42" s="21">
        <v>0.39945</v>
      </c>
      <c r="J42" s="13">
        <f t="shared" si="1"/>
        <v>112.6549005</v>
      </c>
      <c r="K42" s="16" t="str">
        <f t="shared" si="2"/>
        <v>Cheap</v>
      </c>
      <c r="L42" s="16" t="str">
        <f t="shared" si="3"/>
        <v>Affordable</v>
      </c>
      <c r="Q42" s="12" t="str">
        <f>IFERROR(__xludf.DUMMYFUNCTION("IFERROR(REGEXEXTRACT(B42:B47,""Nakuru|Eldorat""),""No Mention"")"),"No Mention")</f>
        <v>No Mention</v>
      </c>
    </row>
    <row r="43">
      <c r="A43" s="14">
        <v>44635.0</v>
      </c>
      <c r="B43" s="4" t="s">
        <v>41</v>
      </c>
      <c r="C43" s="4" t="s">
        <v>28</v>
      </c>
      <c r="D43" s="4" t="s">
        <v>29</v>
      </c>
      <c r="E43" s="4" t="s">
        <v>30</v>
      </c>
      <c r="F43" s="9" t="s">
        <v>31</v>
      </c>
      <c r="G43" s="4" t="s">
        <v>32</v>
      </c>
      <c r="H43" s="21">
        <v>51.0</v>
      </c>
      <c r="I43" s="21">
        <v>0.45271</v>
      </c>
      <c r="J43" s="13">
        <f t="shared" si="1"/>
        <v>112.6549005</v>
      </c>
      <c r="K43" s="16" t="str">
        <f t="shared" si="2"/>
        <v>expensive</v>
      </c>
      <c r="L43" s="16" t="str">
        <f t="shared" si="3"/>
        <v>Affordable</v>
      </c>
      <c r="Q43" s="12" t="str">
        <f>IFERROR(__xludf.DUMMYFUNCTION("IFERROR(REGEXEXTRACT(B43:B48,""Nakuru|Eldorat""),""No Mention"")"),"No Mention")</f>
        <v>No Mention</v>
      </c>
    </row>
    <row r="44">
      <c r="A44" s="14">
        <v>44666.0</v>
      </c>
      <c r="B44" s="4" t="s">
        <v>27</v>
      </c>
      <c r="C44" s="4" t="s">
        <v>28</v>
      </c>
      <c r="D44" s="4" t="s">
        <v>29</v>
      </c>
      <c r="E44" s="4" t="s">
        <v>30</v>
      </c>
      <c r="F44" s="4" t="s">
        <v>49</v>
      </c>
      <c r="G44" s="4" t="s">
        <v>32</v>
      </c>
      <c r="H44" s="34">
        <f t="shared" ref="H44:H53" si="4">LOOKUP(B44,$A$61:$A$71,$B$61:$B$71)</f>
        <v>49.655</v>
      </c>
      <c r="I44" s="34">
        <f>LOOKUP(B44,$A$61:$A$71,$C$61:$C$71)</f>
        <v>0.439175</v>
      </c>
      <c r="J44" s="13">
        <f t="shared" si="1"/>
        <v>113.0642682</v>
      </c>
      <c r="K44" s="16" t="str">
        <f t="shared" si="2"/>
        <v>Cheap</v>
      </c>
      <c r="L44" s="16" t="str">
        <f t="shared" si="3"/>
        <v>Affordable</v>
      </c>
      <c r="Q44" s="12" t="str">
        <f>IFERROR(__xludf.DUMMYFUNCTION("IFERROR(REGEXEXTRACT(B44:B49,""Nakuru|Eldorat""),""No Mention"")"),"No Mention")</f>
        <v>No Mention</v>
      </c>
    </row>
    <row r="45">
      <c r="A45" s="14">
        <v>44666.0</v>
      </c>
      <c r="B45" s="4" t="s">
        <v>33</v>
      </c>
      <c r="C45" s="4" t="s">
        <v>28</v>
      </c>
      <c r="D45" s="4" t="s">
        <v>29</v>
      </c>
      <c r="E45" s="4" t="s">
        <v>30</v>
      </c>
      <c r="F45" s="4" t="s">
        <v>49</v>
      </c>
      <c r="G45" s="4" t="s">
        <v>32</v>
      </c>
      <c r="H45" s="34">
        <f t="shared" si="4"/>
        <v>100.2175</v>
      </c>
      <c r="I45" s="34">
        <f t="shared" ref="I45:I53" si="5">LOOKUP($B45,$A$61:$A$71,$C$61:$C$71)</f>
        <v>0.88525</v>
      </c>
      <c r="J45" s="13">
        <f t="shared" si="1"/>
        <v>113.2081333</v>
      </c>
      <c r="K45" s="16" t="str">
        <f t="shared" si="2"/>
        <v>expensive</v>
      </c>
      <c r="L45" s="16" t="str">
        <f t="shared" si="3"/>
        <v>expensive</v>
      </c>
      <c r="Q45" s="12" t="str">
        <f>IFERROR(__xludf.DUMMYFUNCTION("IFERROR(REGEXEXTRACT(B45:B50,""Nakuru|Eldorat""),""No Mention"")"),"No Mention")</f>
        <v>No Mention</v>
      </c>
    </row>
    <row r="46">
      <c r="A46" s="14">
        <v>44666.0</v>
      </c>
      <c r="B46" s="4" t="s">
        <v>36</v>
      </c>
      <c r="C46" s="4" t="s">
        <v>28</v>
      </c>
      <c r="D46" s="4" t="s">
        <v>29</v>
      </c>
      <c r="E46" s="4" t="s">
        <v>30</v>
      </c>
      <c r="F46" s="4" t="s">
        <v>49</v>
      </c>
      <c r="G46" s="4" t="s">
        <v>32</v>
      </c>
      <c r="H46" s="34">
        <f t="shared" si="4"/>
        <v>47.525</v>
      </c>
      <c r="I46" s="34">
        <f t="shared" si="5"/>
        <v>0.420375</v>
      </c>
      <c r="J46" s="13">
        <f t="shared" si="1"/>
        <v>113.053821</v>
      </c>
      <c r="K46" s="16" t="str">
        <f t="shared" si="2"/>
        <v>Cheap</v>
      </c>
      <c r="L46" s="16" t="str">
        <f t="shared" si="3"/>
        <v>Affordable</v>
      </c>
      <c r="Q46" s="12" t="str">
        <f>IFERROR(__xludf.DUMMYFUNCTION("IFERROR(REGEXEXTRACT(B46:B51,""Nakuru|Eldorat""),""No Mention"")"),"No Mention")</f>
        <v>No Mention</v>
      </c>
    </row>
    <row r="47">
      <c r="A47" s="14">
        <v>44666.0</v>
      </c>
      <c r="B47" s="4" t="s">
        <v>37</v>
      </c>
      <c r="C47" s="4" t="s">
        <v>28</v>
      </c>
      <c r="D47" s="4" t="s">
        <v>29</v>
      </c>
      <c r="E47" s="4" t="s">
        <v>30</v>
      </c>
      <c r="F47" s="4" t="s">
        <v>49</v>
      </c>
      <c r="G47" s="4" t="s">
        <v>32</v>
      </c>
      <c r="H47" s="34">
        <f t="shared" si="4"/>
        <v>45.625</v>
      </c>
      <c r="I47" s="34">
        <f t="shared" si="5"/>
        <v>0.40355</v>
      </c>
      <c r="J47" s="13">
        <f t="shared" si="1"/>
        <v>113.0591005</v>
      </c>
      <c r="K47" s="16" t="str">
        <f t="shared" si="2"/>
        <v>Cheap</v>
      </c>
      <c r="L47" s="16" t="str">
        <f t="shared" si="3"/>
        <v>Affordable</v>
      </c>
      <c r="Q47" s="12" t="str">
        <f>IFERROR(__xludf.DUMMYFUNCTION("IFERROR(REGEXEXTRACT(B47:B52,""Nakuru|Eldorat""),""No Mention"")"),"No Mention")</f>
        <v>No Mention</v>
      </c>
    </row>
    <row r="48">
      <c r="A48" s="14">
        <v>44666.0</v>
      </c>
      <c r="B48" s="4" t="s">
        <v>38</v>
      </c>
      <c r="C48" s="4" t="s">
        <v>28</v>
      </c>
      <c r="D48" s="4" t="s">
        <v>29</v>
      </c>
      <c r="E48" s="4" t="s">
        <v>30</v>
      </c>
      <c r="F48" s="4" t="s">
        <v>49</v>
      </c>
      <c r="G48" s="4" t="s">
        <v>32</v>
      </c>
      <c r="H48" s="34">
        <f t="shared" si="4"/>
        <v>50.0475</v>
      </c>
      <c r="I48" s="34">
        <f t="shared" si="5"/>
        <v>0.442575</v>
      </c>
      <c r="J48" s="13">
        <f t="shared" si="1"/>
        <v>113.0825284</v>
      </c>
      <c r="K48" s="16" t="str">
        <f t="shared" si="2"/>
        <v>expensive</v>
      </c>
      <c r="L48" s="16" t="str">
        <f t="shared" si="3"/>
        <v>Affordable</v>
      </c>
      <c r="Q48" s="12" t="str">
        <f>IFERROR(__xludf.DUMMYFUNCTION("IFERROR(REGEXEXTRACT(B48:B53,""Nakuru|Eldorat""),""No Mention"")"),"No Mention")</f>
        <v>No Mention</v>
      </c>
    </row>
    <row r="49">
      <c r="A49" s="14">
        <v>44666.0</v>
      </c>
      <c r="B49" s="4" t="s">
        <v>40</v>
      </c>
      <c r="C49" s="4" t="s">
        <v>28</v>
      </c>
      <c r="D49" s="4" t="s">
        <v>29</v>
      </c>
      <c r="E49" s="4" t="s">
        <v>30</v>
      </c>
      <c r="F49" s="4" t="s">
        <v>49</v>
      </c>
      <c r="G49" s="4" t="s">
        <v>32</v>
      </c>
      <c r="H49" s="34">
        <f t="shared" si="4"/>
        <v>65.462</v>
      </c>
      <c r="I49" s="34">
        <f t="shared" si="5"/>
        <v>0.58026</v>
      </c>
      <c r="J49" s="13">
        <f t="shared" si="1"/>
        <v>112.814945</v>
      </c>
      <c r="K49" s="16" t="str">
        <f t="shared" si="2"/>
        <v>expensive</v>
      </c>
      <c r="L49" s="16" t="str">
        <f t="shared" si="3"/>
        <v>expensive</v>
      </c>
      <c r="Q49" s="12" t="str">
        <f>IFERROR(__xludf.DUMMYFUNCTION("IFERROR(REGEXEXTRACT(B49:B54,""Nakuru|Eldorat""),""No Mention"")"),"No Mention")</f>
        <v>No Mention</v>
      </c>
    </row>
    <row r="50">
      <c r="A50" s="14">
        <v>44666.0</v>
      </c>
      <c r="B50" s="4" t="s">
        <v>42</v>
      </c>
      <c r="C50" s="4" t="s">
        <v>28</v>
      </c>
      <c r="D50" s="4" t="s">
        <v>29</v>
      </c>
      <c r="E50" s="4" t="s">
        <v>30</v>
      </c>
      <c r="F50" s="4" t="s">
        <v>49</v>
      </c>
      <c r="G50" s="4" t="s">
        <v>32</v>
      </c>
      <c r="H50" s="34">
        <f t="shared" si="4"/>
        <v>56.0875</v>
      </c>
      <c r="I50" s="34">
        <f t="shared" si="5"/>
        <v>0.49675</v>
      </c>
      <c r="J50" s="13">
        <f t="shared" si="1"/>
        <v>112.9089079</v>
      </c>
      <c r="K50" s="16" t="str">
        <f t="shared" si="2"/>
        <v>expensive</v>
      </c>
      <c r="L50" s="16" t="str">
        <f t="shared" si="3"/>
        <v>Affordable</v>
      </c>
      <c r="Q50" s="12" t="str">
        <f>IFERROR(__xludf.DUMMYFUNCTION("IFERROR(REGEXEXTRACT(B50:B55,""Nakuru|Eldorat""),""No Mention"")"),"No Mention")</f>
        <v>No Mention</v>
      </c>
    </row>
    <row r="51">
      <c r="A51" s="14">
        <v>44666.0</v>
      </c>
      <c r="B51" s="4" t="s">
        <v>43</v>
      </c>
      <c r="C51" s="4" t="s">
        <v>28</v>
      </c>
      <c r="D51" s="4" t="s">
        <v>29</v>
      </c>
      <c r="E51" s="4" t="s">
        <v>30</v>
      </c>
      <c r="F51" s="4" t="s">
        <v>49</v>
      </c>
      <c r="G51" s="4" t="s">
        <v>32</v>
      </c>
      <c r="H51" s="34">
        <f t="shared" si="4"/>
        <v>50.47</v>
      </c>
      <c r="I51" s="34">
        <f t="shared" si="5"/>
        <v>0.447225</v>
      </c>
      <c r="J51" s="13">
        <f t="shared" si="1"/>
        <v>112.851473</v>
      </c>
      <c r="K51" s="16" t="str">
        <f t="shared" si="2"/>
        <v>expensive</v>
      </c>
      <c r="L51" s="16" t="str">
        <f t="shared" si="3"/>
        <v>Affordable</v>
      </c>
      <c r="Q51" s="12" t="str">
        <f>IFERROR(__xludf.DUMMYFUNCTION("IFERROR(REGEXEXTRACT(B51:B56,""Nakuru|Eldorat""),""No Mention"")"),"Nakuru")</f>
        <v>Nakuru</v>
      </c>
    </row>
    <row r="52">
      <c r="A52" s="14">
        <v>44666.0</v>
      </c>
      <c r="B52" s="4" t="s">
        <v>39</v>
      </c>
      <c r="C52" s="4" t="s">
        <v>28</v>
      </c>
      <c r="D52" s="4" t="s">
        <v>29</v>
      </c>
      <c r="E52" s="4" t="s">
        <v>30</v>
      </c>
      <c r="F52" s="4" t="s">
        <v>49</v>
      </c>
      <c r="G52" s="4" t="s">
        <v>32</v>
      </c>
      <c r="H52" s="34">
        <f t="shared" si="4"/>
        <v>83.4375</v>
      </c>
      <c r="I52" s="34">
        <f t="shared" si="5"/>
        <v>0.7398875</v>
      </c>
      <c r="J52" s="13">
        <f t="shared" si="1"/>
        <v>112.7705225</v>
      </c>
      <c r="K52" s="16" t="str">
        <f t="shared" si="2"/>
        <v>expensive</v>
      </c>
      <c r="L52" s="16" t="str">
        <f t="shared" si="3"/>
        <v>expensive</v>
      </c>
      <c r="Q52" s="12" t="str">
        <f>IFERROR(__xludf.DUMMYFUNCTION("IFERROR(REGEXEXTRACT(B52:B57,""Nakuru|Eldorat""),""No Mention"")"),"No Mention")</f>
        <v>No Mention</v>
      </c>
    </row>
    <row r="53">
      <c r="A53" s="14">
        <v>44666.0</v>
      </c>
      <c r="B53" s="4" t="s">
        <v>41</v>
      </c>
      <c r="C53" s="4" t="s">
        <v>28</v>
      </c>
      <c r="D53" s="4" t="s">
        <v>29</v>
      </c>
      <c r="E53" s="4" t="s">
        <v>30</v>
      </c>
      <c r="F53" s="4" t="s">
        <v>49</v>
      </c>
      <c r="G53" s="4" t="s">
        <v>32</v>
      </c>
      <c r="H53" s="34">
        <f t="shared" si="4"/>
        <v>42.1375</v>
      </c>
      <c r="I53" s="34">
        <f t="shared" si="5"/>
        <v>0.3733025</v>
      </c>
      <c r="J53" s="13">
        <f t="shared" si="1"/>
        <v>112.8776261</v>
      </c>
      <c r="K53" s="16" t="str">
        <f t="shared" si="2"/>
        <v>Cheap</v>
      </c>
      <c r="L53" s="16" t="str">
        <f t="shared" si="3"/>
        <v>Affordable</v>
      </c>
      <c r="Q53" s="12" t="str">
        <f>IFERROR(__xludf.DUMMYFUNCTION("IFERROR(REGEXEXTRACT(B53:B58,""Nakuru|Eldorat""),""No Mention"")"),"No Mention")</f>
        <v>No Mention</v>
      </c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6"/>
      <c r="R54" s="35"/>
      <c r="S54" s="35"/>
      <c r="T54" s="35"/>
      <c r="U54" s="35"/>
      <c r="V54" s="35"/>
      <c r="W54" s="35"/>
      <c r="X54" s="35"/>
    </row>
    <row r="55">
      <c r="A55" s="37" t="s">
        <v>51</v>
      </c>
      <c r="B55" s="38"/>
      <c r="C55" s="38"/>
      <c r="D55" s="38"/>
      <c r="E55" s="38"/>
      <c r="F55" s="38"/>
      <c r="G55" s="38"/>
      <c r="H55" s="39">
        <f t="shared" ref="H55:I55" si="6">MIN(H2:H53)</f>
        <v>25</v>
      </c>
      <c r="I55" s="39">
        <f t="shared" si="6"/>
        <v>0.2215</v>
      </c>
      <c r="J55" s="40">
        <f t="shared" ref="J55:J59" si="8">IFERROR(H55/I55, "NaN")</f>
        <v>112.8668172</v>
      </c>
    </row>
    <row r="56">
      <c r="A56" s="41" t="s">
        <v>52</v>
      </c>
      <c r="H56" s="17">
        <f t="shared" ref="H56:I56" si="7">QUARTILE(H3:H53,1)</f>
        <v>45.9875</v>
      </c>
      <c r="I56" s="17">
        <f t="shared" si="7"/>
        <v>0.407475</v>
      </c>
      <c r="J56" s="42">
        <f t="shared" si="8"/>
        <v>112.8596846</v>
      </c>
    </row>
    <row r="57">
      <c r="A57" s="41" t="s">
        <v>53</v>
      </c>
      <c r="H57" s="17">
        <f t="shared" ref="H57:I57" si="9">MEDIAN(H2:H53)</f>
        <v>50</v>
      </c>
      <c r="I57" s="17">
        <f t="shared" si="9"/>
        <v>0.4411</v>
      </c>
      <c r="J57" s="42">
        <f t="shared" si="8"/>
        <v>113.3529812</v>
      </c>
    </row>
    <row r="58">
      <c r="A58" s="41" t="s">
        <v>54</v>
      </c>
      <c r="H58" s="17">
        <f t="shared" ref="H58:I58" si="10">QUARTILE(H3:H53,3)</f>
        <v>53.975</v>
      </c>
      <c r="I58" s="17">
        <f t="shared" si="10"/>
        <v>0.4762</v>
      </c>
      <c r="J58" s="42">
        <f t="shared" si="8"/>
        <v>113.3452331</v>
      </c>
    </row>
    <row r="59">
      <c r="A59" s="43" t="s">
        <v>55</v>
      </c>
      <c r="B59" s="19"/>
      <c r="C59" s="19"/>
      <c r="D59" s="19"/>
      <c r="E59" s="19"/>
      <c r="F59" s="19"/>
      <c r="G59" s="19"/>
      <c r="H59" s="44">
        <f t="shared" ref="H59:I59" si="11">MAX(H3:H53)</f>
        <v>250</v>
      </c>
      <c r="I59" s="44">
        <f t="shared" si="11"/>
        <v>2.2055</v>
      </c>
      <c r="J59" s="45">
        <f t="shared" si="8"/>
        <v>113.3529812</v>
      </c>
    </row>
    <row r="61">
      <c r="A61" s="46" t="s">
        <v>1</v>
      </c>
      <c r="B61" s="46" t="s">
        <v>34</v>
      </c>
      <c r="C61" s="46" t="s">
        <v>35</v>
      </c>
    </row>
    <row r="62">
      <c r="A62" s="11" t="s">
        <v>38</v>
      </c>
      <c r="B62" s="17">
        <v>50.0475</v>
      </c>
      <c r="C62" s="47">
        <v>0.442575</v>
      </c>
    </row>
    <row r="63">
      <c r="A63" s="11" t="s">
        <v>39</v>
      </c>
      <c r="B63" s="17">
        <v>83.4375</v>
      </c>
      <c r="C63" s="47">
        <v>0.7398875</v>
      </c>
    </row>
    <row r="64">
      <c r="A64" s="11" t="s">
        <v>33</v>
      </c>
      <c r="B64" s="17">
        <v>100.2175</v>
      </c>
      <c r="C64" s="47">
        <v>0.8852499999999999</v>
      </c>
    </row>
    <row r="65">
      <c r="A65" s="11" t="s">
        <v>36</v>
      </c>
      <c r="B65" s="17">
        <v>47.525</v>
      </c>
      <c r="C65" s="47">
        <v>0.420375</v>
      </c>
    </row>
    <row r="66">
      <c r="A66" s="11" t="s">
        <v>41</v>
      </c>
      <c r="B66" s="17">
        <v>42.1375</v>
      </c>
      <c r="C66" s="47">
        <v>0.3733025</v>
      </c>
    </row>
    <row r="67">
      <c r="A67" s="11" t="s">
        <v>42</v>
      </c>
      <c r="B67" s="17">
        <v>56.0875</v>
      </c>
      <c r="C67" s="47">
        <v>0.49674999999999997</v>
      </c>
    </row>
    <row r="68">
      <c r="A68" s="11" t="s">
        <v>37</v>
      </c>
      <c r="B68" s="17">
        <v>45.625</v>
      </c>
      <c r="C68" s="47">
        <v>0.40355</v>
      </c>
    </row>
    <row r="69">
      <c r="A69" s="11" t="s">
        <v>27</v>
      </c>
      <c r="B69" s="17">
        <v>49.655</v>
      </c>
      <c r="C69" s="47">
        <v>0.43917500000000004</v>
      </c>
    </row>
    <row r="70">
      <c r="A70" s="11" t="s">
        <v>43</v>
      </c>
      <c r="B70" s="17">
        <v>50.47</v>
      </c>
      <c r="C70" s="47">
        <v>0.447225</v>
      </c>
    </row>
    <row r="71">
      <c r="A71" s="11" t="s">
        <v>40</v>
      </c>
      <c r="B71" s="17">
        <v>65.462</v>
      </c>
      <c r="C71" s="47">
        <v>0.58026</v>
      </c>
    </row>
    <row r="72">
      <c r="A72" s="18" t="s">
        <v>44</v>
      </c>
      <c r="B72" s="44">
        <v>61.94695652173913</v>
      </c>
      <c r="C72" s="48">
        <v>0.5481991304347826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0"/>
  </cols>
  <sheetData>
    <row r="1"/>
    <row r="2" hidden="1"/>
    <row r="3" hidden="1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5.63"/>
    <col customWidth="1" min="6" max="6" width="14.5"/>
    <col customWidth="1" min="10" max="1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6" t="s">
        <v>18</v>
      </c>
      <c r="I2" s="6" t="s">
        <v>21</v>
      </c>
      <c r="J2" s="7" t="s">
        <v>24</v>
      </c>
    </row>
    <row r="3">
      <c r="A3" s="8">
        <v>44545.0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10">
        <v>52.31</v>
      </c>
      <c r="I3" s="10">
        <v>0.4635</v>
      </c>
      <c r="J3" s="13">
        <f t="shared" ref="J3:J53" si="1">H3/I3</f>
        <v>112.8586839</v>
      </c>
    </row>
    <row r="4">
      <c r="A4" s="14">
        <v>44545.0</v>
      </c>
      <c r="B4" s="4" t="s">
        <v>33</v>
      </c>
      <c r="C4" s="4" t="s">
        <v>28</v>
      </c>
      <c r="D4" s="4" t="s">
        <v>29</v>
      </c>
      <c r="E4" s="4" t="s">
        <v>30</v>
      </c>
      <c r="F4" s="9" t="s">
        <v>31</v>
      </c>
      <c r="G4" s="4" t="s">
        <v>32</v>
      </c>
      <c r="H4" s="15">
        <v>50.0</v>
      </c>
      <c r="I4" s="15">
        <v>0.4431</v>
      </c>
      <c r="J4" s="13">
        <f t="shared" si="1"/>
        <v>112.8413451</v>
      </c>
    </row>
    <row r="5">
      <c r="A5" s="8">
        <v>44545.0</v>
      </c>
      <c r="B5" s="9" t="s">
        <v>36</v>
      </c>
      <c r="C5" s="9" t="s">
        <v>28</v>
      </c>
      <c r="D5" s="9" t="s">
        <v>29</v>
      </c>
      <c r="E5" s="9" t="s">
        <v>30</v>
      </c>
      <c r="F5" s="9" t="s">
        <v>31</v>
      </c>
      <c r="G5" s="9" t="s">
        <v>32</v>
      </c>
      <c r="H5" s="10">
        <v>50.0</v>
      </c>
      <c r="I5" s="10">
        <v>0.4431</v>
      </c>
      <c r="J5" s="13">
        <f t="shared" si="1"/>
        <v>112.8413451</v>
      </c>
    </row>
    <row r="6">
      <c r="A6" s="8">
        <v>44545.0</v>
      </c>
      <c r="B6" s="9" t="s">
        <v>37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10">
        <v>42.5</v>
      </c>
      <c r="I6" s="10">
        <v>0.3766</v>
      </c>
      <c r="J6" s="13">
        <f t="shared" si="1"/>
        <v>112.8518322</v>
      </c>
    </row>
    <row r="7">
      <c r="A7" s="8">
        <v>44545.0</v>
      </c>
      <c r="B7" s="9" t="s">
        <v>38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10">
        <v>46.67</v>
      </c>
      <c r="I7" s="10">
        <v>0.4135</v>
      </c>
      <c r="J7" s="13">
        <f t="shared" si="1"/>
        <v>112.8657799</v>
      </c>
    </row>
    <row r="8">
      <c r="A8" s="8">
        <v>44545.0</v>
      </c>
      <c r="B8" s="9" t="s">
        <v>40</v>
      </c>
      <c r="C8" s="9" t="s">
        <v>28</v>
      </c>
      <c r="D8" s="9" t="s">
        <v>29</v>
      </c>
      <c r="E8" s="9" t="s">
        <v>30</v>
      </c>
      <c r="F8" s="9" t="s">
        <v>31</v>
      </c>
      <c r="G8" s="9" t="s">
        <v>32</v>
      </c>
      <c r="H8" s="10">
        <v>47.5</v>
      </c>
      <c r="I8" s="10">
        <v>0.4209</v>
      </c>
      <c r="J8" s="13">
        <f t="shared" si="1"/>
        <v>112.8534094</v>
      </c>
    </row>
    <row r="9">
      <c r="A9" s="8">
        <v>44545.0</v>
      </c>
      <c r="B9" s="9" t="s">
        <v>42</v>
      </c>
      <c r="C9" s="9" t="s">
        <v>28</v>
      </c>
      <c r="D9" s="9" t="s">
        <v>29</v>
      </c>
      <c r="E9" s="9" t="s">
        <v>30</v>
      </c>
      <c r="F9" s="9" t="s">
        <v>31</v>
      </c>
      <c r="G9" s="9" t="s">
        <v>32</v>
      </c>
      <c r="H9" s="10">
        <v>50.0</v>
      </c>
      <c r="I9" s="10">
        <v>0.4431</v>
      </c>
      <c r="J9" s="13">
        <f t="shared" si="1"/>
        <v>112.8413451</v>
      </c>
    </row>
    <row r="10">
      <c r="A10" s="8">
        <v>44545.0</v>
      </c>
      <c r="B10" s="9" t="s">
        <v>43</v>
      </c>
      <c r="C10" s="9" t="s">
        <v>28</v>
      </c>
      <c r="D10" s="9" t="s">
        <v>29</v>
      </c>
      <c r="E10" s="9" t="s">
        <v>30</v>
      </c>
      <c r="F10" s="9" t="s">
        <v>31</v>
      </c>
      <c r="G10" s="9" t="s">
        <v>32</v>
      </c>
      <c r="H10" s="10">
        <v>47.5</v>
      </c>
      <c r="I10" s="10">
        <v>0.4209</v>
      </c>
      <c r="J10" s="13">
        <f t="shared" si="1"/>
        <v>112.8534094</v>
      </c>
    </row>
    <row r="11">
      <c r="A11" s="8">
        <v>44545.0</v>
      </c>
      <c r="B11" s="9" t="s">
        <v>39</v>
      </c>
      <c r="C11" s="9" t="s">
        <v>28</v>
      </c>
      <c r="D11" s="9" t="s">
        <v>29</v>
      </c>
      <c r="E11" s="9" t="s">
        <v>30</v>
      </c>
      <c r="F11" s="9" t="s">
        <v>31</v>
      </c>
      <c r="G11" s="9" t="s">
        <v>32</v>
      </c>
      <c r="H11" s="10">
        <v>40.0</v>
      </c>
      <c r="I11" s="10">
        <v>0.3545</v>
      </c>
      <c r="J11" s="13">
        <f t="shared" si="1"/>
        <v>112.8349788</v>
      </c>
    </row>
    <row r="12">
      <c r="A12" s="8">
        <v>44545.0</v>
      </c>
      <c r="B12" s="9" t="s">
        <v>41</v>
      </c>
      <c r="C12" s="9" t="s">
        <v>28</v>
      </c>
      <c r="D12" s="9" t="s">
        <v>29</v>
      </c>
      <c r="E12" s="9" t="s">
        <v>30</v>
      </c>
      <c r="F12" s="9" t="s">
        <v>31</v>
      </c>
      <c r="G12" s="9" t="s">
        <v>32</v>
      </c>
      <c r="H12" s="10">
        <v>25.0</v>
      </c>
      <c r="I12" s="10">
        <v>0.2215</v>
      </c>
      <c r="J12" s="13">
        <f t="shared" si="1"/>
        <v>112.8668172</v>
      </c>
    </row>
    <row r="13">
      <c r="A13" s="14">
        <v>44576.0</v>
      </c>
      <c r="B13" s="4" t="s">
        <v>27</v>
      </c>
      <c r="C13" s="4" t="s">
        <v>28</v>
      </c>
      <c r="D13" s="4" t="s">
        <v>29</v>
      </c>
      <c r="E13" s="4" t="s">
        <v>30</v>
      </c>
      <c r="F13" s="9" t="s">
        <v>31</v>
      </c>
      <c r="G13" s="4" t="s">
        <v>32</v>
      </c>
      <c r="H13" s="15">
        <v>50.0</v>
      </c>
      <c r="I13" s="15">
        <v>0.4411</v>
      </c>
      <c r="J13" s="13">
        <f t="shared" si="1"/>
        <v>113.3529812</v>
      </c>
    </row>
    <row r="14">
      <c r="A14" s="14">
        <v>44576.0</v>
      </c>
      <c r="B14" s="4" t="s">
        <v>33</v>
      </c>
      <c r="C14" s="4" t="s">
        <v>28</v>
      </c>
      <c r="D14" s="4" t="s">
        <v>29</v>
      </c>
      <c r="E14" s="4" t="s">
        <v>45</v>
      </c>
      <c r="F14" s="9" t="s">
        <v>31</v>
      </c>
      <c r="G14" s="4" t="s">
        <v>32</v>
      </c>
      <c r="H14" s="15">
        <v>250.0</v>
      </c>
      <c r="I14" s="15">
        <v>2.2055</v>
      </c>
      <c r="J14" s="13">
        <f t="shared" si="1"/>
        <v>113.3529812</v>
      </c>
    </row>
    <row r="15">
      <c r="A15" s="14">
        <v>44576.0</v>
      </c>
      <c r="B15" s="4" t="s">
        <v>36</v>
      </c>
      <c r="C15" s="4" t="s">
        <v>28</v>
      </c>
      <c r="D15" s="4" t="s">
        <v>29</v>
      </c>
      <c r="E15" s="4" t="s">
        <v>30</v>
      </c>
      <c r="F15" s="9" t="s">
        <v>31</v>
      </c>
      <c r="G15" s="4" t="s">
        <v>32</v>
      </c>
      <c r="H15" s="15">
        <v>50.0</v>
      </c>
      <c r="I15" s="15">
        <v>0.4411</v>
      </c>
      <c r="J15" s="13">
        <f t="shared" si="1"/>
        <v>113.3529812</v>
      </c>
    </row>
    <row r="16">
      <c r="A16" s="14">
        <v>44576.0</v>
      </c>
      <c r="B16" s="4" t="s">
        <v>37</v>
      </c>
      <c r="C16" s="4" t="s">
        <v>28</v>
      </c>
      <c r="D16" s="4" t="s">
        <v>29</v>
      </c>
      <c r="E16" s="4" t="s">
        <v>30</v>
      </c>
      <c r="F16" s="9" t="s">
        <v>31</v>
      </c>
      <c r="G16" s="4" t="s">
        <v>32</v>
      </c>
      <c r="H16" s="15">
        <v>45.0</v>
      </c>
      <c r="I16" s="15">
        <v>0.397</v>
      </c>
      <c r="J16" s="13">
        <f t="shared" si="1"/>
        <v>113.3501259</v>
      </c>
    </row>
    <row r="17">
      <c r="A17" s="14">
        <v>44576.0</v>
      </c>
      <c r="B17" s="4" t="s">
        <v>38</v>
      </c>
      <c r="C17" s="4" t="s">
        <v>28</v>
      </c>
      <c r="D17" s="4" t="s">
        <v>29</v>
      </c>
      <c r="E17" s="4" t="s">
        <v>30</v>
      </c>
      <c r="F17" s="9" t="s">
        <v>31</v>
      </c>
      <c r="G17" s="4" t="s">
        <v>32</v>
      </c>
      <c r="H17" s="15">
        <v>60.0</v>
      </c>
      <c r="I17" s="15">
        <v>0.5293</v>
      </c>
      <c r="J17" s="13">
        <f t="shared" si="1"/>
        <v>113.3572643</v>
      </c>
    </row>
    <row r="18">
      <c r="A18" s="14">
        <v>44576.0</v>
      </c>
      <c r="B18" s="4" t="s">
        <v>40</v>
      </c>
      <c r="C18" s="4" t="s">
        <v>28</v>
      </c>
      <c r="D18" s="4" t="s">
        <v>29</v>
      </c>
      <c r="E18" s="4" t="s">
        <v>30</v>
      </c>
      <c r="F18" s="9" t="s">
        <v>31</v>
      </c>
      <c r="G18" s="4" t="s">
        <v>32</v>
      </c>
      <c r="H18" s="15">
        <v>60.0</v>
      </c>
      <c r="I18" s="15">
        <v>0.5293</v>
      </c>
      <c r="J18" s="13">
        <f t="shared" si="1"/>
        <v>113.3572643</v>
      </c>
    </row>
    <row r="19">
      <c r="A19" s="14">
        <v>44576.0</v>
      </c>
      <c r="B19" s="4" t="s">
        <v>42</v>
      </c>
      <c r="C19" s="4" t="s">
        <v>28</v>
      </c>
      <c r="D19" s="4" t="s">
        <v>29</v>
      </c>
      <c r="E19" s="4" t="s">
        <v>30</v>
      </c>
      <c r="F19" s="9" t="s">
        <v>31</v>
      </c>
      <c r="G19" s="4" t="s">
        <v>32</v>
      </c>
      <c r="H19" s="15">
        <v>68.75</v>
      </c>
      <c r="I19" s="15">
        <v>0.6065</v>
      </c>
      <c r="J19" s="13">
        <f t="shared" si="1"/>
        <v>113.3553174</v>
      </c>
    </row>
    <row r="20">
      <c r="A20" s="14">
        <v>44576.0</v>
      </c>
      <c r="B20" s="4" t="s">
        <v>43</v>
      </c>
      <c r="C20" s="4" t="s">
        <v>28</v>
      </c>
      <c r="D20" s="4" t="s">
        <v>29</v>
      </c>
      <c r="E20" s="4" t="s">
        <v>30</v>
      </c>
      <c r="F20" s="9" t="s">
        <v>31</v>
      </c>
      <c r="G20" s="4" t="s">
        <v>32</v>
      </c>
      <c r="H20" s="15">
        <v>44.38</v>
      </c>
      <c r="I20" s="15">
        <v>0.3915</v>
      </c>
      <c r="J20" s="13">
        <f t="shared" si="1"/>
        <v>113.3588761</v>
      </c>
    </row>
    <row r="21">
      <c r="A21" s="14">
        <v>44576.0</v>
      </c>
      <c r="B21" s="4" t="s">
        <v>39</v>
      </c>
      <c r="C21" s="4" t="s">
        <v>28</v>
      </c>
      <c r="D21" s="4" t="s">
        <v>29</v>
      </c>
      <c r="E21" s="4" t="s">
        <v>30</v>
      </c>
      <c r="F21" s="9" t="s">
        <v>31</v>
      </c>
      <c r="G21" s="4" t="s">
        <v>32</v>
      </c>
      <c r="H21" s="15">
        <v>48.75</v>
      </c>
      <c r="I21" s="15">
        <v>0.4301</v>
      </c>
      <c r="J21" s="13">
        <f t="shared" si="1"/>
        <v>113.3457336</v>
      </c>
    </row>
    <row r="22">
      <c r="A22" s="14">
        <v>44576.0</v>
      </c>
      <c r="B22" s="4" t="s">
        <v>41</v>
      </c>
      <c r="C22" s="4" t="s">
        <v>28</v>
      </c>
      <c r="D22" s="4" t="s">
        <v>29</v>
      </c>
      <c r="E22" s="4" t="s">
        <v>30</v>
      </c>
      <c r="F22" s="9" t="s">
        <v>31</v>
      </c>
      <c r="G22" s="4" t="s">
        <v>32</v>
      </c>
      <c r="H22" s="15">
        <v>47.17</v>
      </c>
      <c r="I22" s="15">
        <v>0.4161</v>
      </c>
      <c r="J22" s="13">
        <f t="shared" si="1"/>
        <v>113.3621726</v>
      </c>
    </row>
    <row r="23">
      <c r="A23" s="14">
        <v>44607.0</v>
      </c>
      <c r="B23" s="4" t="s">
        <v>27</v>
      </c>
      <c r="C23" s="4" t="s">
        <v>28</v>
      </c>
      <c r="D23" s="4" t="s">
        <v>29</v>
      </c>
      <c r="E23" s="4" t="s">
        <v>30</v>
      </c>
      <c r="F23" s="9" t="s">
        <v>31</v>
      </c>
      <c r="G23" s="4" t="s">
        <v>32</v>
      </c>
      <c r="H23" s="15">
        <v>53.62</v>
      </c>
      <c r="I23" s="15">
        <v>0.4731</v>
      </c>
      <c r="J23" s="13">
        <f t="shared" si="1"/>
        <v>113.3375608</v>
      </c>
    </row>
    <row r="24">
      <c r="A24" s="14">
        <v>44607.0</v>
      </c>
      <c r="B24" s="4" t="s">
        <v>33</v>
      </c>
      <c r="C24" s="4" t="s">
        <v>28</v>
      </c>
      <c r="D24" s="4" t="s">
        <v>29</v>
      </c>
      <c r="E24" s="4" t="s">
        <v>30</v>
      </c>
      <c r="F24" s="9" t="s">
        <v>31</v>
      </c>
      <c r="G24" s="4" t="s">
        <v>32</v>
      </c>
      <c r="H24" s="15">
        <v>54.33</v>
      </c>
      <c r="I24" s="15">
        <v>0.4793</v>
      </c>
      <c r="J24" s="13">
        <f t="shared" si="1"/>
        <v>113.3528062</v>
      </c>
    </row>
    <row r="25">
      <c r="A25" s="14">
        <v>44607.0</v>
      </c>
      <c r="B25" s="4" t="s">
        <v>36</v>
      </c>
      <c r="C25" s="4" t="s">
        <v>28</v>
      </c>
      <c r="D25" s="4" t="s">
        <v>29</v>
      </c>
      <c r="E25" s="4" t="s">
        <v>30</v>
      </c>
      <c r="F25" s="9" t="s">
        <v>31</v>
      </c>
      <c r="G25" s="4" t="s">
        <v>32</v>
      </c>
      <c r="H25" s="15">
        <v>47.33</v>
      </c>
      <c r="I25" s="15">
        <v>0.4176</v>
      </c>
      <c r="J25" s="13">
        <f t="shared" si="1"/>
        <v>113.3381226</v>
      </c>
    </row>
    <row r="26">
      <c r="A26" s="14">
        <v>44607.0</v>
      </c>
      <c r="B26" s="4" t="s">
        <v>37</v>
      </c>
      <c r="C26" s="4" t="s">
        <v>28</v>
      </c>
      <c r="D26" s="4" t="s">
        <v>29</v>
      </c>
      <c r="E26" s="4" t="s">
        <v>30</v>
      </c>
      <c r="F26" s="9" t="s">
        <v>31</v>
      </c>
      <c r="G26" s="4" t="s">
        <v>32</v>
      </c>
      <c r="H26" s="15">
        <f>250/5</f>
        <v>50</v>
      </c>
      <c r="I26" s="15">
        <v>0.4411</v>
      </c>
      <c r="J26" s="13">
        <f t="shared" si="1"/>
        <v>113.3529812</v>
      </c>
    </row>
    <row r="27">
      <c r="A27" s="14">
        <v>44607.0</v>
      </c>
      <c r="B27" s="4" t="s">
        <v>38</v>
      </c>
      <c r="C27" s="4" t="s">
        <v>28</v>
      </c>
      <c r="D27" s="4" t="s">
        <v>29</v>
      </c>
      <c r="E27" s="4" t="s">
        <v>30</v>
      </c>
      <c r="F27" s="9" t="s">
        <v>31</v>
      </c>
      <c r="G27" s="4" t="s">
        <v>32</v>
      </c>
      <c r="H27" s="15">
        <v>47.17</v>
      </c>
      <c r="I27" s="15">
        <v>0.4161</v>
      </c>
      <c r="J27" s="13">
        <f t="shared" si="1"/>
        <v>113.3621726</v>
      </c>
    </row>
    <row r="28">
      <c r="A28" s="14">
        <v>44607.0</v>
      </c>
      <c r="B28" s="4" t="s">
        <v>40</v>
      </c>
      <c r="C28" s="4" t="s">
        <v>28</v>
      </c>
      <c r="D28" s="4" t="s">
        <v>29</v>
      </c>
      <c r="E28" s="4" t="s">
        <v>30</v>
      </c>
      <c r="F28" s="9" t="s">
        <v>31</v>
      </c>
      <c r="G28" s="4" t="s">
        <v>32</v>
      </c>
      <c r="H28" s="15">
        <v>50.0</v>
      </c>
      <c r="I28" s="15">
        <v>0.4411</v>
      </c>
      <c r="J28" s="13">
        <f t="shared" si="1"/>
        <v>113.3529812</v>
      </c>
    </row>
    <row r="29">
      <c r="A29" s="14">
        <v>44607.0</v>
      </c>
      <c r="B29" s="4" t="s">
        <v>42</v>
      </c>
      <c r="C29" s="4" t="s">
        <v>28</v>
      </c>
      <c r="D29" s="4" t="s">
        <v>29</v>
      </c>
      <c r="E29" s="4" t="s">
        <v>30</v>
      </c>
      <c r="F29" s="9" t="s">
        <v>31</v>
      </c>
      <c r="G29" s="4" t="s">
        <v>32</v>
      </c>
      <c r="H29" s="15">
        <v>68.75</v>
      </c>
      <c r="I29" s="15">
        <v>0.6103</v>
      </c>
      <c r="J29" s="13">
        <f t="shared" si="1"/>
        <v>112.6495166</v>
      </c>
    </row>
    <row r="30">
      <c r="A30" s="14">
        <v>44607.0</v>
      </c>
      <c r="B30" s="4" t="s">
        <v>43</v>
      </c>
      <c r="C30" s="4" t="s">
        <v>28</v>
      </c>
      <c r="D30" s="4" t="s">
        <v>29</v>
      </c>
      <c r="E30" s="4" t="s">
        <v>30</v>
      </c>
      <c r="F30" s="9" t="s">
        <v>31</v>
      </c>
      <c r="G30" s="4" t="s">
        <v>32</v>
      </c>
      <c r="H30" s="15">
        <v>50.0</v>
      </c>
      <c r="I30" s="15">
        <v>0.4439</v>
      </c>
      <c r="J30" s="13">
        <f t="shared" si="1"/>
        <v>112.6379815</v>
      </c>
    </row>
    <row r="31">
      <c r="A31" s="14">
        <v>44607.0</v>
      </c>
      <c r="B31" s="4" t="s">
        <v>39</v>
      </c>
      <c r="C31" s="4" t="s">
        <v>28</v>
      </c>
      <c r="D31" s="4" t="s">
        <v>29</v>
      </c>
      <c r="E31" s="4" t="s">
        <v>45</v>
      </c>
      <c r="F31" s="9" t="s">
        <v>31</v>
      </c>
      <c r="G31" s="4" t="s">
        <v>32</v>
      </c>
      <c r="H31" s="15">
        <v>200.0</v>
      </c>
      <c r="I31" s="15">
        <v>1.7755</v>
      </c>
      <c r="J31" s="13">
        <f t="shared" si="1"/>
        <v>112.6443255</v>
      </c>
    </row>
    <row r="32">
      <c r="A32" s="14">
        <v>44607.0</v>
      </c>
      <c r="B32" s="4" t="s">
        <v>41</v>
      </c>
      <c r="C32" s="4" t="s">
        <v>28</v>
      </c>
      <c r="D32" s="4" t="s">
        <v>29</v>
      </c>
      <c r="E32" s="4" t="s">
        <v>30</v>
      </c>
      <c r="F32" s="9" t="s">
        <v>31</v>
      </c>
      <c r="G32" s="4" t="s">
        <v>32</v>
      </c>
      <c r="H32" s="15">
        <v>45.38</v>
      </c>
      <c r="I32" s="15">
        <v>0.4029</v>
      </c>
      <c r="J32" s="13">
        <f t="shared" si="1"/>
        <v>112.6334078</v>
      </c>
    </row>
    <row r="33">
      <c r="A33" s="14">
        <v>44635.0</v>
      </c>
      <c r="B33" s="4" t="s">
        <v>27</v>
      </c>
      <c r="C33" s="4" t="s">
        <v>28</v>
      </c>
      <c r="D33" s="4" t="s">
        <v>29</v>
      </c>
      <c r="E33" s="4" t="s">
        <v>30</v>
      </c>
      <c r="F33" s="9" t="s">
        <v>31</v>
      </c>
      <c r="G33" s="4" t="s">
        <v>32</v>
      </c>
      <c r="H33" s="15">
        <v>42.69</v>
      </c>
      <c r="I33" s="15">
        <v>0.379</v>
      </c>
      <c r="J33" s="13">
        <f t="shared" si="1"/>
        <v>112.6385224</v>
      </c>
    </row>
    <row r="34">
      <c r="A34" s="14">
        <v>44635.0</v>
      </c>
      <c r="B34" s="4" t="s">
        <v>33</v>
      </c>
      <c r="C34" s="4" t="s">
        <v>28</v>
      </c>
      <c r="D34" s="4" t="s">
        <v>29</v>
      </c>
      <c r="E34" s="4" t="s">
        <v>30</v>
      </c>
      <c r="F34" s="9" t="s">
        <v>31</v>
      </c>
      <c r="G34" s="4" t="s">
        <v>32</v>
      </c>
      <c r="H34" s="15">
        <v>46.54</v>
      </c>
      <c r="I34" s="15">
        <v>0.4131</v>
      </c>
      <c r="J34" s="13">
        <f t="shared" si="1"/>
        <v>112.6603728</v>
      </c>
    </row>
    <row r="35">
      <c r="A35" s="14">
        <v>44635.0</v>
      </c>
      <c r="B35" s="4" t="s">
        <v>36</v>
      </c>
      <c r="C35" s="4" t="s">
        <v>28</v>
      </c>
      <c r="D35" s="4" t="s">
        <v>29</v>
      </c>
      <c r="E35" s="4" t="s">
        <v>30</v>
      </c>
      <c r="F35" s="9" t="s">
        <v>31</v>
      </c>
      <c r="G35" s="4" t="s">
        <v>32</v>
      </c>
      <c r="H35" s="15">
        <v>42.77</v>
      </c>
      <c r="I35" s="15">
        <v>0.3797</v>
      </c>
      <c r="J35" s="13">
        <f t="shared" si="1"/>
        <v>112.6415591</v>
      </c>
    </row>
    <row r="36">
      <c r="A36" s="14">
        <v>44635.0</v>
      </c>
      <c r="B36" s="4" t="s">
        <v>37</v>
      </c>
      <c r="C36" s="4" t="s">
        <v>28</v>
      </c>
      <c r="D36" s="4" t="s">
        <v>29</v>
      </c>
      <c r="E36" s="4" t="s">
        <v>30</v>
      </c>
      <c r="F36" s="9" t="s">
        <v>31</v>
      </c>
      <c r="G36" s="4" t="s">
        <v>32</v>
      </c>
      <c r="H36" s="15">
        <v>45.0</v>
      </c>
      <c r="I36" s="15">
        <v>0.3995</v>
      </c>
      <c r="J36" s="13">
        <f t="shared" si="1"/>
        <v>112.640801</v>
      </c>
    </row>
    <row r="37">
      <c r="A37" s="14">
        <v>44635.0</v>
      </c>
      <c r="B37" s="4" t="s">
        <v>38</v>
      </c>
      <c r="C37" s="4" t="s">
        <v>28</v>
      </c>
      <c r="D37" s="4" t="s">
        <v>29</v>
      </c>
      <c r="E37" s="4" t="s">
        <v>30</v>
      </c>
      <c r="F37" s="9" t="s">
        <v>31</v>
      </c>
      <c r="G37" s="4" t="s">
        <v>32</v>
      </c>
      <c r="H37" s="15">
        <v>46.35</v>
      </c>
      <c r="I37" s="15">
        <v>0.4114</v>
      </c>
      <c r="J37" s="13">
        <f t="shared" si="1"/>
        <v>112.6640739</v>
      </c>
    </row>
    <row r="38">
      <c r="A38" s="14">
        <v>44635.0</v>
      </c>
      <c r="B38" s="4" t="s">
        <v>40</v>
      </c>
      <c r="C38" s="4" t="s">
        <v>28</v>
      </c>
      <c r="D38" s="4" t="s">
        <v>29</v>
      </c>
      <c r="E38" s="4" t="s">
        <v>30</v>
      </c>
      <c r="F38" s="9" t="s">
        <v>31</v>
      </c>
      <c r="G38" s="4" t="s">
        <v>32</v>
      </c>
      <c r="H38" s="15">
        <v>47.31</v>
      </c>
      <c r="I38" s="15">
        <v>0.42</v>
      </c>
      <c r="J38" s="13">
        <f t="shared" si="1"/>
        <v>112.6428571</v>
      </c>
    </row>
    <row r="39">
      <c r="A39" s="14">
        <v>44635.0</v>
      </c>
      <c r="B39" s="4" t="s">
        <v>42</v>
      </c>
      <c r="C39" s="4" t="s">
        <v>28</v>
      </c>
      <c r="D39" s="4" t="s">
        <v>29</v>
      </c>
      <c r="E39" s="4" t="s">
        <v>30</v>
      </c>
      <c r="F39" s="9" t="s">
        <v>31</v>
      </c>
      <c r="G39" s="4" t="s">
        <v>32</v>
      </c>
      <c r="H39" s="15">
        <v>36.85</v>
      </c>
      <c r="I39" s="15">
        <v>0.3271</v>
      </c>
      <c r="J39" s="13">
        <f t="shared" si="1"/>
        <v>112.6566799</v>
      </c>
    </row>
    <row r="40">
      <c r="A40" s="14">
        <v>44635.0</v>
      </c>
      <c r="B40" s="4" t="s">
        <v>43</v>
      </c>
      <c r="C40" s="4" t="s">
        <v>28</v>
      </c>
      <c r="D40" s="4" t="s">
        <v>29</v>
      </c>
      <c r="E40" s="4" t="s">
        <v>30</v>
      </c>
      <c r="F40" s="9" t="s">
        <v>31</v>
      </c>
      <c r="G40" s="4" t="s">
        <v>32</v>
      </c>
      <c r="H40" s="15">
        <v>60.0</v>
      </c>
      <c r="I40" s="15">
        <v>0.5326</v>
      </c>
      <c r="J40" s="13">
        <f t="shared" si="1"/>
        <v>112.6549005</v>
      </c>
    </row>
    <row r="41">
      <c r="A41" s="14">
        <v>44270.0</v>
      </c>
      <c r="B41" s="4" t="s">
        <v>40</v>
      </c>
      <c r="C41" s="4" t="s">
        <v>46</v>
      </c>
      <c r="D41" s="4" t="s">
        <v>47</v>
      </c>
      <c r="E41" s="6" t="s">
        <v>48</v>
      </c>
      <c r="F41" s="9" t="s">
        <v>31</v>
      </c>
      <c r="G41" s="4" t="s">
        <v>32</v>
      </c>
      <c r="H41" s="15">
        <v>122.5</v>
      </c>
      <c r="I41" s="15">
        <v>1.09</v>
      </c>
      <c r="J41" s="13">
        <f t="shared" si="1"/>
        <v>112.3853211</v>
      </c>
    </row>
    <row r="42">
      <c r="A42" s="14">
        <v>44635.0</v>
      </c>
      <c r="B42" s="4" t="s">
        <v>39</v>
      </c>
      <c r="C42" s="4" t="s">
        <v>28</v>
      </c>
      <c r="D42" s="4" t="s">
        <v>29</v>
      </c>
      <c r="E42" s="4" t="s">
        <v>30</v>
      </c>
      <c r="F42" s="9" t="s">
        <v>31</v>
      </c>
      <c r="G42" s="4" t="s">
        <v>32</v>
      </c>
      <c r="H42" s="21">
        <v>45.0</v>
      </c>
      <c r="I42" s="21">
        <v>0.39945</v>
      </c>
      <c r="J42" s="13">
        <f t="shared" si="1"/>
        <v>112.6549005</v>
      </c>
    </row>
    <row r="43">
      <c r="A43" s="14">
        <v>44635.0</v>
      </c>
      <c r="B43" s="4" t="s">
        <v>41</v>
      </c>
      <c r="C43" s="4" t="s">
        <v>28</v>
      </c>
      <c r="D43" s="4" t="s">
        <v>29</v>
      </c>
      <c r="E43" s="4" t="s">
        <v>30</v>
      </c>
      <c r="F43" s="9" t="s">
        <v>31</v>
      </c>
      <c r="G43" s="4" t="s">
        <v>32</v>
      </c>
      <c r="H43" s="21">
        <v>51.0</v>
      </c>
      <c r="I43" s="21">
        <v>0.45271</v>
      </c>
      <c r="J43" s="13">
        <f t="shared" si="1"/>
        <v>112.6549005</v>
      </c>
    </row>
    <row r="44">
      <c r="A44" s="14">
        <v>44666.0</v>
      </c>
      <c r="B44" s="4" t="s">
        <v>27</v>
      </c>
      <c r="C44" s="4" t="s">
        <v>28</v>
      </c>
      <c r="D44" s="4" t="s">
        <v>29</v>
      </c>
      <c r="E44" s="4" t="s">
        <v>30</v>
      </c>
      <c r="F44" s="4" t="s">
        <v>49</v>
      </c>
      <c r="G44" s="4" t="s">
        <v>32</v>
      </c>
      <c r="H44" s="22"/>
      <c r="I44" s="22"/>
      <c r="J44" s="13" t="str">
        <f t="shared" si="1"/>
        <v>#DIV/0!</v>
      </c>
    </row>
    <row r="45">
      <c r="A45" s="14">
        <v>44666.0</v>
      </c>
      <c r="B45" s="4" t="s">
        <v>33</v>
      </c>
      <c r="C45" s="4" t="s">
        <v>28</v>
      </c>
      <c r="D45" s="4" t="s">
        <v>29</v>
      </c>
      <c r="E45" s="4" t="s">
        <v>30</v>
      </c>
      <c r="F45" s="4" t="s">
        <v>49</v>
      </c>
      <c r="G45" s="4" t="s">
        <v>32</v>
      </c>
      <c r="H45" s="22"/>
      <c r="I45" s="22"/>
      <c r="J45" s="13" t="str">
        <f t="shared" si="1"/>
        <v>#DIV/0!</v>
      </c>
    </row>
    <row r="46">
      <c r="A46" s="14">
        <v>44666.0</v>
      </c>
      <c r="B46" s="4" t="s">
        <v>36</v>
      </c>
      <c r="C46" s="4" t="s">
        <v>28</v>
      </c>
      <c r="D46" s="4" t="s">
        <v>29</v>
      </c>
      <c r="E46" s="4" t="s">
        <v>30</v>
      </c>
      <c r="F46" s="4" t="s">
        <v>49</v>
      </c>
      <c r="G46" s="4" t="s">
        <v>32</v>
      </c>
      <c r="H46" s="22"/>
      <c r="I46" s="22"/>
      <c r="J46" s="13" t="str">
        <f t="shared" si="1"/>
        <v>#DIV/0!</v>
      </c>
    </row>
    <row r="47">
      <c r="A47" s="14">
        <v>44666.0</v>
      </c>
      <c r="B47" s="4" t="s">
        <v>37</v>
      </c>
      <c r="C47" s="4" t="s">
        <v>28</v>
      </c>
      <c r="D47" s="4" t="s">
        <v>29</v>
      </c>
      <c r="E47" s="4" t="s">
        <v>30</v>
      </c>
      <c r="F47" s="4" t="s">
        <v>49</v>
      </c>
      <c r="G47" s="4" t="s">
        <v>32</v>
      </c>
      <c r="H47" s="22"/>
      <c r="I47" s="22"/>
      <c r="J47" s="13" t="str">
        <f t="shared" si="1"/>
        <v>#DIV/0!</v>
      </c>
    </row>
    <row r="48">
      <c r="A48" s="14">
        <v>44666.0</v>
      </c>
      <c r="B48" s="4" t="s">
        <v>38</v>
      </c>
      <c r="C48" s="4" t="s">
        <v>28</v>
      </c>
      <c r="D48" s="4" t="s">
        <v>29</v>
      </c>
      <c r="E48" s="4" t="s">
        <v>30</v>
      </c>
      <c r="F48" s="4" t="s">
        <v>49</v>
      </c>
      <c r="G48" s="4" t="s">
        <v>32</v>
      </c>
      <c r="H48" s="22"/>
      <c r="I48" s="22"/>
      <c r="J48" s="13" t="str">
        <f t="shared" si="1"/>
        <v>#DIV/0!</v>
      </c>
    </row>
    <row r="49">
      <c r="A49" s="14">
        <v>44666.0</v>
      </c>
      <c r="B49" s="4" t="s">
        <v>40</v>
      </c>
      <c r="C49" s="4" t="s">
        <v>28</v>
      </c>
      <c r="D49" s="4" t="s">
        <v>29</v>
      </c>
      <c r="E49" s="4" t="s">
        <v>30</v>
      </c>
      <c r="F49" s="4" t="s">
        <v>49</v>
      </c>
      <c r="G49" s="4" t="s">
        <v>32</v>
      </c>
      <c r="H49" s="22"/>
      <c r="I49" s="22"/>
      <c r="J49" s="13" t="str">
        <f t="shared" si="1"/>
        <v>#DIV/0!</v>
      </c>
    </row>
    <row r="50">
      <c r="A50" s="14">
        <v>44666.0</v>
      </c>
      <c r="B50" s="4" t="s">
        <v>42</v>
      </c>
      <c r="C50" s="4" t="s">
        <v>28</v>
      </c>
      <c r="D50" s="4" t="s">
        <v>29</v>
      </c>
      <c r="E50" s="4" t="s">
        <v>30</v>
      </c>
      <c r="F50" s="4" t="s">
        <v>49</v>
      </c>
      <c r="G50" s="4" t="s">
        <v>32</v>
      </c>
      <c r="H50" s="22"/>
      <c r="I50" s="22"/>
      <c r="J50" s="13" t="str">
        <f t="shared" si="1"/>
        <v>#DIV/0!</v>
      </c>
    </row>
    <row r="51">
      <c r="A51" s="14">
        <v>44666.0</v>
      </c>
      <c r="B51" s="4" t="s">
        <v>43</v>
      </c>
      <c r="C51" s="4" t="s">
        <v>28</v>
      </c>
      <c r="D51" s="4" t="s">
        <v>29</v>
      </c>
      <c r="E51" s="4" t="s">
        <v>30</v>
      </c>
      <c r="F51" s="4" t="s">
        <v>49</v>
      </c>
      <c r="G51" s="4" t="s">
        <v>32</v>
      </c>
      <c r="H51" s="22"/>
      <c r="I51" s="22"/>
      <c r="J51" s="13" t="str">
        <f t="shared" si="1"/>
        <v>#DIV/0!</v>
      </c>
    </row>
    <row r="52">
      <c r="A52" s="14">
        <v>44666.0</v>
      </c>
      <c r="B52" s="4" t="s">
        <v>39</v>
      </c>
      <c r="C52" s="4" t="s">
        <v>28</v>
      </c>
      <c r="D52" s="4" t="s">
        <v>29</v>
      </c>
      <c r="E52" s="4" t="s">
        <v>30</v>
      </c>
      <c r="F52" s="4" t="s">
        <v>49</v>
      </c>
      <c r="G52" s="4" t="s">
        <v>32</v>
      </c>
      <c r="H52" s="22"/>
      <c r="I52" s="22"/>
      <c r="J52" s="13" t="str">
        <f t="shared" si="1"/>
        <v>#DIV/0!</v>
      </c>
    </row>
    <row r="53">
      <c r="A53" s="14">
        <v>44666.0</v>
      </c>
      <c r="B53" s="4" t="s">
        <v>41</v>
      </c>
      <c r="C53" s="4" t="s">
        <v>28</v>
      </c>
      <c r="D53" s="4" t="s">
        <v>29</v>
      </c>
      <c r="E53" s="4" t="s">
        <v>30</v>
      </c>
      <c r="F53" s="4" t="s">
        <v>49</v>
      </c>
      <c r="G53" s="4" t="s">
        <v>32</v>
      </c>
      <c r="H53" s="22"/>
      <c r="I53" s="22"/>
      <c r="J53" s="13" t="str">
        <f t="shared" si="1"/>
        <v>#DIV/0!</v>
      </c>
    </row>
    <row r="54">
      <c r="A54" s="1" t="s">
        <v>50</v>
      </c>
    </row>
    <row r="55">
      <c r="A55" s="23" t="s">
        <v>51</v>
      </c>
      <c r="B55" s="24"/>
      <c r="C55" s="24"/>
      <c r="D55" s="24"/>
      <c r="E55" s="24"/>
      <c r="F55" s="24"/>
      <c r="G55" s="24"/>
      <c r="H55" s="25">
        <f t="shared" ref="H55:J55" si="2">MIN(H3:H53)</f>
        <v>25</v>
      </c>
      <c r="I55" s="25">
        <f t="shared" si="2"/>
        <v>0.2215</v>
      </c>
      <c r="J55" s="26" t="str">
        <f t="shared" si="2"/>
        <v>#DIV/0!</v>
      </c>
    </row>
    <row r="56">
      <c r="A56" s="27" t="s">
        <v>52</v>
      </c>
      <c r="B56" s="4"/>
      <c r="C56" s="28"/>
      <c r="D56" s="4"/>
      <c r="E56" s="4"/>
      <c r="F56" s="4"/>
      <c r="G56" s="4"/>
      <c r="H56" s="15">
        <f t="shared" ref="H56:J56" si="3">QUARTILE(H3:H53,1)</f>
        <v>45.38</v>
      </c>
      <c r="I56" s="15">
        <f t="shared" si="3"/>
        <v>0.4029</v>
      </c>
      <c r="J56" s="29" t="str">
        <f t="shared" si="3"/>
        <v>#DIV/0!</v>
      </c>
    </row>
    <row r="57">
      <c r="A57" s="27" t="s">
        <v>53</v>
      </c>
      <c r="B57" s="4"/>
      <c r="C57" s="28"/>
      <c r="D57" s="4"/>
      <c r="E57" s="4"/>
      <c r="F57" s="4"/>
      <c r="G57" s="4"/>
      <c r="H57" s="15">
        <f t="shared" ref="H57:J57" si="4">QUARTILE(H3:H53,2)</f>
        <v>48.75</v>
      </c>
      <c r="I57" s="15">
        <f t="shared" si="4"/>
        <v>0.4301</v>
      </c>
      <c r="J57" s="29" t="str">
        <f t="shared" si="4"/>
        <v>#DIV/0!</v>
      </c>
    </row>
    <row r="58">
      <c r="A58" s="27" t="s">
        <v>54</v>
      </c>
      <c r="B58" s="4"/>
      <c r="C58" s="28"/>
      <c r="D58" s="4"/>
      <c r="E58" s="4"/>
      <c r="F58" s="4"/>
      <c r="G58" s="4"/>
      <c r="H58" s="15">
        <f t="shared" ref="H58:J58" si="5">QUARTILE(H3:H53,3)</f>
        <v>52.31</v>
      </c>
      <c r="I58" s="15">
        <f t="shared" si="5"/>
        <v>0.4635</v>
      </c>
      <c r="J58" s="29" t="str">
        <f t="shared" si="5"/>
        <v>#DIV/0!</v>
      </c>
    </row>
    <row r="59">
      <c r="A59" s="30" t="s">
        <v>55</v>
      </c>
      <c r="B59" s="31"/>
      <c r="C59" s="31"/>
      <c r="D59" s="31"/>
      <c r="E59" s="31"/>
      <c r="F59" s="31"/>
      <c r="G59" s="31"/>
      <c r="H59" s="32">
        <f t="shared" ref="H59:J59" si="6">MAX(H3:H53)</f>
        <v>250</v>
      </c>
      <c r="I59" s="32">
        <f t="shared" si="6"/>
        <v>2.2055</v>
      </c>
      <c r="J59" s="33" t="str">
        <f t="shared" si="6"/>
        <v>#DIV/0!</v>
      </c>
    </row>
  </sheetData>
  <mergeCells count="1">
    <mergeCell ref="A54:J54"/>
  </mergeCells>
  <drawing r:id="rId1"/>
</worksheet>
</file>